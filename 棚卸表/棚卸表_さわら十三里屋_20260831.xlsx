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20260831" sheetId="1" state="visible" r:id="rId1"/>
  </sheets>
  <definedNames>
    <definedName name="_xlnm.Print_Area" localSheetId="0">'20260831'!$A$1:$T$57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_ ;_ @_ "/>
    <numFmt numFmtId="165" formatCode="_ * #,##0.0_ ;_ * \-#,##0.0_ ;_ * &quot;-&quot;_ ;_ @_ "/>
    <numFmt numFmtId="166" formatCode="_ * #,##0.00_ ;_ * \-#,##0.00_ ;_ * &quot;-&quot;_ ;_ @_ "/>
  </numFmts>
  <fonts count="10">
    <font>
      <name val="Calibri"/>
      <color theme="1"/>
      <sz val="11"/>
      <scheme val="minor"/>
    </font>
    <font>
      <name val="Meiryo"/>
      <charset val="128"/>
      <family val="3"/>
      <color theme="1"/>
      <sz val="11"/>
    </font>
    <font>
      <name val="Meiryo"/>
      <charset val="128"/>
      <family val="3"/>
      <color theme="1"/>
      <sz val="12"/>
    </font>
    <font>
      <name val="Meiryo"/>
      <charset val="128"/>
      <family val="3"/>
      <b val="1"/>
      <color theme="0"/>
      <sz val="10"/>
    </font>
    <font>
      <name val="Calibri"/>
      <family val="2"/>
      <sz val="11"/>
    </font>
    <font>
      <name val="Meiryo"/>
      <charset val="128"/>
      <family val="3"/>
      <color theme="1"/>
      <sz val="10"/>
    </font>
    <font>
      <name val="Meiryo"/>
      <charset val="128"/>
      <family val="3"/>
      <color theme="1"/>
      <sz val="8"/>
    </font>
    <font>
      <name val="Meiryo"/>
      <charset val="128"/>
      <family val="3"/>
      <b val="1"/>
      <color theme="0"/>
      <sz val="8"/>
    </font>
    <font>
      <name val="Meiryo"/>
      <charset val="128"/>
      <family val="3"/>
      <b val="1"/>
      <color theme="1"/>
      <sz val="8"/>
    </font>
    <font>
      <name val="Calibri"/>
      <charset val="128"/>
      <family val="3"/>
      <sz val="6"/>
      <scheme val="minor"/>
    </font>
  </fonts>
  <fills count="5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 shrinkToFit="1"/>
    </xf>
    <xf numFmtId="0" fontId="6" fillId="0" borderId="0" pivotButton="0" quotePrefix="0" xfId="0"/>
    <xf numFmtId="0" fontId="6" fillId="0" borderId="0" applyAlignment="1" pivotButton="0" quotePrefix="0" xfId="0">
      <alignment horizontal="center" vertical="center" shrinkToFit="1"/>
    </xf>
    <xf numFmtId="0" fontId="6" fillId="0" borderId="14" applyAlignment="1" pivotButton="0" quotePrefix="0" xfId="0">
      <alignment horizontal="center" vertical="center"/>
    </xf>
    <xf numFmtId="164" fontId="6" fillId="0" borderId="14" applyAlignment="1" pivotButton="0" quotePrefix="0" xfId="0">
      <alignment horizontal="center" vertical="center" shrinkToFit="1"/>
    </xf>
    <xf numFmtId="165" fontId="6" fillId="3" borderId="14" applyAlignment="1" pivotButton="0" quotePrefix="0" xfId="0">
      <alignment horizontal="center" vertical="center" shrinkToFit="1"/>
    </xf>
    <xf numFmtId="165" fontId="6" fillId="0" borderId="14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center" vertical="center"/>
    </xf>
    <xf numFmtId="0" fontId="7" fillId="2" borderId="15" applyAlignment="1" pivotButton="0" quotePrefix="0" xfId="0">
      <alignment horizontal="center" vertical="center"/>
    </xf>
    <xf numFmtId="164" fontId="6" fillId="3" borderId="15" applyAlignment="1" pivotButton="0" quotePrefix="0" xfId="0">
      <alignment horizontal="center" vertical="center" shrinkToFit="1"/>
    </xf>
    <xf numFmtId="164" fontId="6" fillId="0" borderId="0" applyAlignment="1" pivotButton="0" quotePrefix="0" xfId="0">
      <alignment horizontal="center" vertical="center"/>
    </xf>
    <xf numFmtId="164" fontId="6" fillId="4" borderId="14" applyAlignment="1" pivotButton="0" quotePrefix="0" xfId="0">
      <alignment horizontal="center" vertical="center" shrinkToFit="1"/>
    </xf>
    <xf numFmtId="165" fontId="6" fillId="4" borderId="14" applyAlignment="1" pivotButton="0" quotePrefix="0" xfId="0">
      <alignment horizontal="center" vertical="center" shrinkToFit="1"/>
    </xf>
    <xf numFmtId="164" fontId="6" fillId="3" borderId="16" applyAlignment="1" pivotButton="0" quotePrefix="0" xfId="0">
      <alignment horizontal="left" vertical="center" shrinkToFit="1"/>
    </xf>
    <xf numFmtId="0" fontId="4" fillId="0" borderId="17" pivotButton="0" quotePrefix="0" xfId="0"/>
    <xf numFmtId="0" fontId="4" fillId="0" borderId="18" pivotButton="0" quotePrefix="0" xfId="0"/>
    <xf numFmtId="0" fontId="6" fillId="0" borderId="1" applyAlignment="1" pivotButton="0" quotePrefix="0" xfId="0">
      <alignment horizontal="left" vertical="center" shrinkToFit="1"/>
    </xf>
    <xf numFmtId="0" fontId="4" fillId="0" borderId="2" pivotButton="0" quotePrefix="0" xfId="0"/>
    <xf numFmtId="0" fontId="4" fillId="0" borderId="3" pivotButton="0" quotePrefix="0" xfId="0"/>
    <xf numFmtId="0" fontId="3" fillId="2" borderId="1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4" fillId="0" borderId="5" pivotButton="0" quotePrefix="0" xfId="0"/>
    <xf numFmtId="0" fontId="4" fillId="0" borderId="7" pivotButton="0" quotePrefix="0" xfId="0"/>
    <xf numFmtId="0" fontId="4" fillId="0" borderId="8" pivotButton="0" quotePrefix="0" xfId="0"/>
    <xf numFmtId="0" fontId="1" fillId="0" borderId="5" applyAlignment="1" pivotButton="0" quotePrefix="0" xfId="0">
      <alignment horizontal="center" vertical="center"/>
    </xf>
    <xf numFmtId="0" fontId="4" fillId="0" borderId="6" pivotButton="0" quotePrefix="0" xfId="0"/>
    <xf numFmtId="0" fontId="4" fillId="0" borderId="9" pivotButton="0" quotePrefix="0" xfId="0"/>
    <xf numFmtId="14" fontId="1" fillId="0" borderId="4" applyAlignment="1" pivotButton="0" quotePrefix="0" xfId="0">
      <alignment horizontal="center" vertical="center"/>
    </xf>
    <xf numFmtId="14" fontId="1" fillId="3" borderId="4" applyAlignment="1" pivotButton="0" quotePrefix="0" xfId="0">
      <alignment horizontal="center" vertical="center"/>
    </xf>
    <xf numFmtId="164" fontId="5" fillId="0" borderId="4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4" fillId="0" borderId="12" pivotButton="0" quotePrefix="0" xfId="0"/>
    <xf numFmtId="0" fontId="4" fillId="0" borderId="13" pivotButton="0" quotePrefix="0" xfId="0"/>
    <xf numFmtId="164" fontId="6" fillId="0" borderId="1" applyAlignment="1" pivotButton="0" quotePrefix="0" xfId="0">
      <alignment horizontal="left" vertical="center" shrinkToFit="1"/>
    </xf>
    <xf numFmtId="0" fontId="3" fillId="2" borderId="1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2" pivotButton="0" quotePrefix="0" xfId="0"/>
    <xf numFmtId="0" fontId="1" fillId="0" borderId="3" applyAlignment="1" pivotButton="0" quotePrefix="0" xfId="0">
      <alignment horizontal="center" vertical="center"/>
    </xf>
    <xf numFmtId="0" fontId="0" fillId="0" borderId="13" pivotButton="0" quotePrefix="0" xfId="0"/>
    <xf numFmtId="14" fontId="1" fillId="0" borderId="14" applyAlignment="1" pivotButton="0" quotePrefix="0" xfId="0">
      <alignment horizontal="center" vertical="center"/>
    </xf>
    <xf numFmtId="14" fontId="1" fillId="3" borderId="14" applyAlignment="1" pivotButton="0" quotePrefix="0" xfId="0">
      <alignment horizontal="center" vertical="center"/>
    </xf>
    <xf numFmtId="164" fontId="5" fillId="0" borderId="14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7" fillId="2" borderId="14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 shrinkToFit="1"/>
    </xf>
    <xf numFmtId="166" fontId="6" fillId="0" borderId="14" applyAlignment="1" pivotButton="0" quotePrefix="0" xfId="0">
      <alignment horizontal="center" vertical="center" shrinkToFit="1"/>
    </xf>
    <xf numFmtId="165" fontId="6" fillId="3" borderId="14" applyAlignment="1" pivotButton="0" quotePrefix="0" xfId="0">
      <alignment horizontal="center" vertical="center" shrinkToFit="1"/>
    </xf>
    <xf numFmtId="165" fontId="6" fillId="0" borderId="14" applyAlignment="1" pivotButton="0" quotePrefix="0" xfId="0">
      <alignment horizontal="center" vertical="center" shrinkToFit="1"/>
    </xf>
    <xf numFmtId="164" fontId="6" fillId="0" borderId="14" applyAlignment="1" pivotButton="0" quotePrefix="0" xfId="0">
      <alignment horizontal="center" vertical="center" shrinkToFit="1"/>
    </xf>
    <xf numFmtId="164" fontId="6" fillId="4" borderId="14" applyAlignment="1" pivotButton="0" quotePrefix="0" xfId="0">
      <alignment horizontal="center" vertical="center" shrinkToFit="1"/>
    </xf>
    <xf numFmtId="165" fontId="6" fillId="4" borderId="14" applyAlignment="1" pivotButton="0" quotePrefix="0" xfId="0">
      <alignment horizontal="center" vertical="center" shrinkToFit="1"/>
    </xf>
    <xf numFmtId="164" fontId="6" fillId="0" borderId="0" applyAlignment="1" pivotButton="0" quotePrefix="0" xfId="0">
      <alignment horizontal="center" vertical="center"/>
    </xf>
    <xf numFmtId="164" fontId="6" fillId="3" borderId="15" applyAlignment="1" pivotButton="0" quotePrefix="0" xfId="0">
      <alignment horizontal="left" vertical="center" shrinkToFit="1"/>
    </xf>
    <xf numFmtId="164" fontId="6" fillId="3" borderId="15" applyAlignment="1" pivotButton="0" quotePrefix="0" xfId="0">
      <alignment horizontal="center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7"/>
  <sheetViews>
    <sheetView tabSelected="1" view="pageBreakPreview" zoomScaleNormal="100" zoomScaleSheetLayoutView="100" workbookViewId="0">
      <selection activeCell="O3" sqref="O3:Q4"/>
    </sheetView>
  </sheetViews>
  <sheetFormatPr baseColWidth="8" defaultColWidth="14.42578125" defaultRowHeight="15" customHeight="1"/>
  <cols>
    <col width="2.7109375" customWidth="1" min="1" max="1"/>
    <col width="3.7109375" customWidth="1" min="2" max="2"/>
    <col width="5.7109375" customWidth="1" min="3" max="10"/>
    <col width="1.5703125" customWidth="1" min="11" max="11"/>
    <col width="3.7109375" customWidth="1" min="12" max="12"/>
    <col width="5.7109375" customWidth="1" min="13" max="20"/>
    <col width="9" customWidth="1" min="21" max="24"/>
  </cols>
  <sheetData>
    <row r="1" ht="9.7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>
      <c r="A2" s="2" t="n"/>
      <c r="B2" s="40" t="inlineStr">
        <is>
          <t>店舗名</t>
        </is>
      </c>
      <c r="C2" s="41" t="n"/>
      <c r="D2" s="41" t="n"/>
      <c r="E2" s="41" t="n"/>
      <c r="F2" s="41" t="n"/>
      <c r="G2" s="41" t="n"/>
      <c r="H2" s="41" t="n"/>
      <c r="I2" s="41" t="n"/>
      <c r="J2" s="42" t="n"/>
      <c r="K2" s="2" t="n"/>
      <c r="L2" s="40" t="inlineStr">
        <is>
          <t>担当者</t>
        </is>
      </c>
      <c r="M2" s="41" t="n"/>
      <c r="N2" s="42" t="n"/>
      <c r="O2" s="40" t="inlineStr">
        <is>
          <t>棚卸年月日</t>
        </is>
      </c>
      <c r="P2" s="41" t="n"/>
      <c r="Q2" s="42" t="n"/>
      <c r="R2" s="40" t="inlineStr">
        <is>
          <t>合計</t>
        </is>
      </c>
      <c r="S2" s="41" t="n"/>
      <c r="T2" s="42" t="n"/>
      <c r="U2" s="2" t="n"/>
      <c r="V2" s="1" t="n"/>
      <c r="W2" s="1" t="n"/>
      <c r="X2" s="1" t="n"/>
      <c r="Y2" s="1" t="n"/>
      <c r="Z2" s="1" t="n"/>
    </row>
    <row r="3" ht="15" customHeight="1">
      <c r="A3" s="2" t="n"/>
      <c r="B3" s="43" t="inlineStr">
        <is>
          <t>さわら十三里屋</t>
        </is>
      </c>
      <c r="C3" s="44" t="n"/>
      <c r="D3" s="44" t="n"/>
      <c r="E3" s="44" t="n"/>
      <c r="F3" s="44" t="n"/>
      <c r="G3" s="44" t="n"/>
      <c r="H3" s="44" t="n"/>
      <c r="I3" s="45" t="inlineStr">
        <is>
          <t>棚卸表</t>
        </is>
      </c>
      <c r="J3" s="46" t="n"/>
      <c r="K3" s="1" t="n"/>
      <c r="L3" s="47" t="n"/>
      <c r="M3" s="44" t="n"/>
      <c r="N3" s="46" t="n"/>
      <c r="O3" s="48" t="n">
        <v>46265</v>
      </c>
      <c r="P3" s="44" t="n"/>
      <c r="Q3" s="46" t="n"/>
      <c r="R3" s="49">
        <f>J57+T57</f>
        <v/>
      </c>
      <c r="S3" s="44" t="n"/>
      <c r="T3" s="46" t="n"/>
      <c r="U3" s="1" t="n"/>
      <c r="V3" s="1" t="n"/>
      <c r="W3" s="1" t="n"/>
      <c r="X3" s="1" t="n"/>
      <c r="Y3" s="1" t="n"/>
      <c r="Z3" s="1" t="n"/>
    </row>
    <row r="4" ht="15" customHeight="1">
      <c r="A4" s="2" t="n"/>
      <c r="B4" s="50" t="n"/>
      <c r="C4" s="51" t="n"/>
      <c r="D4" s="51" t="n"/>
      <c r="E4" s="51" t="n"/>
      <c r="F4" s="51" t="n"/>
      <c r="G4" s="51" t="n"/>
      <c r="H4" s="51" t="n"/>
      <c r="I4" s="51" t="n"/>
      <c r="J4" s="52" t="n"/>
      <c r="K4" s="1" t="n"/>
      <c r="L4" s="50" t="n"/>
      <c r="M4" s="51" t="n"/>
      <c r="N4" s="52" t="n"/>
      <c r="O4" s="50" t="n"/>
      <c r="P4" s="51" t="n"/>
      <c r="Q4" s="52" t="n"/>
      <c r="R4" s="50" t="n"/>
      <c r="S4" s="51" t="n"/>
      <c r="T4" s="52" t="n"/>
      <c r="U4" s="1" t="n"/>
      <c r="V4" s="1" t="n"/>
      <c r="W4" s="1" t="n"/>
      <c r="X4" s="1" t="n"/>
      <c r="Y4" s="1" t="n"/>
      <c r="Z4" s="1" t="n"/>
    </row>
    <row r="5" ht="9.7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1" t="n"/>
      <c r="Z5" s="1" t="n"/>
    </row>
    <row r="6" ht="15" customHeight="1">
      <c r="A6" s="3" t="n"/>
      <c r="B6" s="4" t="inlineStr">
        <is>
          <t>番号</t>
        </is>
      </c>
      <c r="C6" s="53" t="inlineStr">
        <is>
          <t>品名/内容量</t>
        </is>
      </c>
      <c r="D6" s="41" t="n"/>
      <c r="E6" s="41" t="n"/>
      <c r="F6" s="42" t="n"/>
      <c r="G6" s="5" t="inlineStr">
        <is>
          <t>単価</t>
        </is>
      </c>
      <c r="H6" s="5" t="inlineStr">
        <is>
          <t>数量</t>
        </is>
      </c>
      <c r="I6" s="5" t="inlineStr">
        <is>
          <t>単位</t>
        </is>
      </c>
      <c r="J6" s="4" t="inlineStr">
        <is>
          <t>金額</t>
        </is>
      </c>
      <c r="K6" s="3" t="n"/>
      <c r="L6" s="4" t="inlineStr">
        <is>
          <t>番号</t>
        </is>
      </c>
      <c r="M6" s="4" t="inlineStr">
        <is>
          <t>品名/内容量</t>
        </is>
      </c>
      <c r="N6" s="44" t="n"/>
      <c r="O6" s="44" t="n"/>
      <c r="P6" s="46" t="n"/>
      <c r="Q6" s="5" t="inlineStr">
        <is>
          <t>単価</t>
        </is>
      </c>
      <c r="R6" s="5" t="inlineStr">
        <is>
          <t>数量</t>
        </is>
      </c>
      <c r="S6" s="5" t="inlineStr">
        <is>
          <t>単位</t>
        </is>
      </c>
      <c r="T6" s="4" t="inlineStr">
        <is>
          <t>金額</t>
        </is>
      </c>
      <c r="U6" s="3" t="n"/>
      <c r="V6" s="3" t="n"/>
      <c r="W6" s="3" t="n"/>
      <c r="X6" s="3" t="n"/>
      <c r="Y6" s="6" t="n"/>
      <c r="Z6" s="6" t="n"/>
    </row>
    <row r="7" ht="15" customHeight="1">
      <c r="A7" s="7" t="n"/>
      <c r="B7" s="8" t="n">
        <v>1</v>
      </c>
      <c r="C7" s="54" t="inlineStr">
        <is>
          <t>安納芋プリン　60個入り</t>
        </is>
      </c>
      <c r="D7" s="41" t="n"/>
      <c r="E7" s="41" t="n"/>
      <c r="F7" s="42" t="n"/>
      <c r="G7" s="55" t="n">
        <v>109.2</v>
      </c>
      <c r="H7" s="56" t="n">
        <v>110</v>
      </c>
      <c r="I7" s="57" t="inlineStr">
        <is>
          <t>個</t>
        </is>
      </c>
      <c r="J7" s="58">
        <f>G7*H7</f>
        <v/>
      </c>
      <c r="K7" s="7" t="n"/>
      <c r="L7" s="8" t="n">
        <v>51</v>
      </c>
      <c r="M7" s="54" t="inlineStr">
        <is>
          <t>さつまいもポテト(冷凍)　4kg</t>
        </is>
      </c>
      <c r="N7" s="41" t="n"/>
      <c r="O7" s="41" t="n"/>
      <c r="P7" s="42" t="n"/>
      <c r="Q7" s="58" t="n">
        <v>840</v>
      </c>
      <c r="R7" s="56" t="n">
        <v>2</v>
      </c>
      <c r="S7" s="57" t="inlineStr">
        <is>
          <t>袋</t>
        </is>
      </c>
      <c r="T7" s="58">
        <f>Q7*R7</f>
        <v/>
      </c>
      <c r="U7" s="3" t="n"/>
      <c r="V7" s="3" t="n"/>
      <c r="W7" s="3" t="n"/>
      <c r="X7" s="3" t="n"/>
      <c r="Y7" s="6" t="n"/>
      <c r="Z7" s="6" t="n"/>
    </row>
    <row r="8" ht="15" customHeight="1">
      <c r="A8" s="7" t="n"/>
      <c r="B8" s="8" t="n">
        <v>2</v>
      </c>
      <c r="C8" s="54" t="inlineStr">
        <is>
          <t>おいも蜜けんぴ(小)　抹茶ミルク</t>
        </is>
      </c>
      <c r="D8" s="41" t="n"/>
      <c r="E8" s="41" t="n"/>
      <c r="F8" s="42" t="n"/>
      <c r="G8" s="58" t="n">
        <v>221</v>
      </c>
      <c r="H8" s="56" t="n">
        <v>0</v>
      </c>
      <c r="I8" s="57" t="inlineStr">
        <is>
          <t>袋</t>
        </is>
      </c>
      <c r="J8" s="58">
        <f>G8*H8</f>
        <v/>
      </c>
      <c r="K8" s="7" t="n"/>
      <c r="L8" s="8" t="n">
        <v>52</v>
      </c>
      <c r="M8" s="54" t="inlineStr">
        <is>
          <t>さつまいもボール　5kg</t>
        </is>
      </c>
      <c r="N8" s="41" t="n"/>
      <c r="O8" s="41" t="n"/>
      <c r="P8" s="42" t="n"/>
      <c r="Q8" s="58" t="n">
        <v>4145</v>
      </c>
      <c r="R8" s="56" t="n">
        <v>5</v>
      </c>
      <c r="S8" s="57" t="inlineStr">
        <is>
          <t>袋</t>
        </is>
      </c>
      <c r="T8" s="58">
        <f>Q8*R8</f>
        <v/>
      </c>
      <c r="U8" s="3" t="n"/>
      <c r="V8" s="3" t="n"/>
      <c r="W8" s="3" t="n"/>
      <c r="X8" s="3" t="n"/>
      <c r="Y8" s="6" t="n"/>
      <c r="Z8" s="6" t="n"/>
    </row>
    <row r="9" ht="15" customHeight="1">
      <c r="A9" s="7" t="n"/>
      <c r="B9" s="8" t="n">
        <v>3</v>
      </c>
      <c r="C9" s="54" t="inlineStr">
        <is>
          <t>おいも蜜けんぴ(小)　おいも蜜</t>
        </is>
      </c>
      <c r="D9" s="41" t="n"/>
      <c r="E9" s="41" t="n"/>
      <c r="F9" s="42" t="n"/>
      <c r="G9" s="58" t="n">
        <v>221</v>
      </c>
      <c r="H9" s="56" t="n">
        <v>0</v>
      </c>
      <c r="I9" s="57" t="inlineStr">
        <is>
          <t>袋</t>
        </is>
      </c>
      <c r="J9" s="58">
        <f>G9*H9</f>
        <v/>
      </c>
      <c r="K9" s="7" t="n"/>
      <c r="L9" s="8" t="n">
        <v>53</v>
      </c>
      <c r="M9" s="54" t="inlineStr">
        <is>
          <t>バニラアイス(鹿島食品)</t>
        </is>
      </c>
      <c r="N9" s="41" t="n"/>
      <c r="O9" s="41" t="n"/>
      <c r="P9" s="42" t="n"/>
      <c r="Q9" s="58" t="n">
        <v>1248</v>
      </c>
      <c r="R9" s="56" t="n">
        <v>6</v>
      </c>
      <c r="S9" s="57" t="inlineStr">
        <is>
          <t>パック</t>
        </is>
      </c>
      <c r="T9" s="58">
        <f>Q9*R9</f>
        <v/>
      </c>
      <c r="U9" s="3" t="n"/>
      <c r="V9" s="3" t="n"/>
      <c r="W9" s="3" t="n"/>
      <c r="X9" s="3" t="n"/>
      <c r="Y9" s="6" t="n"/>
      <c r="Z9" s="6" t="n"/>
    </row>
    <row r="10" ht="15" customHeight="1">
      <c r="A10" s="7" t="n"/>
      <c r="B10" s="8" t="n">
        <v>4</v>
      </c>
      <c r="C10" s="54" t="inlineStr">
        <is>
          <t>おいもけんぴ(小)　きな粉</t>
        </is>
      </c>
      <c r="D10" s="41" t="n"/>
      <c r="E10" s="41" t="n"/>
      <c r="F10" s="42" t="n"/>
      <c r="G10" s="58" t="n">
        <v>221</v>
      </c>
      <c r="H10" s="56" t="n">
        <v>3</v>
      </c>
      <c r="I10" s="57" t="inlineStr">
        <is>
          <t>袋</t>
        </is>
      </c>
      <c r="J10" s="58">
        <f>G10*H10</f>
        <v/>
      </c>
      <c r="K10" s="7" t="n"/>
      <c r="L10" s="8" t="n">
        <v>54</v>
      </c>
      <c r="M10" s="54" t="inlineStr">
        <is>
          <t>カラメルソース</t>
        </is>
      </c>
      <c r="N10" s="41" t="n"/>
      <c r="O10" s="41" t="n"/>
      <c r="P10" s="42" t="n"/>
      <c r="Q10" s="58" t="n">
        <v>414</v>
      </c>
      <c r="R10" s="56" t="n">
        <v>8</v>
      </c>
      <c r="S10" s="57" t="inlineStr">
        <is>
          <t>本</t>
        </is>
      </c>
      <c r="T10" s="58">
        <f>Q10*R10</f>
        <v/>
      </c>
      <c r="U10" s="3" t="n"/>
      <c r="V10" s="3" t="n"/>
      <c r="W10" s="3" t="n"/>
      <c r="X10" s="3" t="n"/>
      <c r="Y10" s="6" t="n"/>
      <c r="Z10" s="6" t="n"/>
    </row>
    <row r="11" ht="15" customHeight="1">
      <c r="A11" s="7" t="n"/>
      <c r="B11" s="8" t="n">
        <v>5</v>
      </c>
      <c r="C11" s="54" t="inlineStr">
        <is>
          <t>おいもけんぴ(小)　ハニーバター</t>
        </is>
      </c>
      <c r="D11" s="41" t="n"/>
      <c r="E11" s="41" t="n"/>
      <c r="F11" s="42" t="n"/>
      <c r="G11" s="58" t="n">
        <v>221</v>
      </c>
      <c r="H11" s="56" t="n">
        <v>0</v>
      </c>
      <c r="I11" s="57" t="inlineStr">
        <is>
          <t>袋</t>
        </is>
      </c>
      <c r="J11" s="58">
        <f>G11*H11</f>
        <v/>
      </c>
      <c r="K11" s="7" t="n"/>
      <c r="L11" s="8" t="n">
        <v>55</v>
      </c>
      <c r="M11" s="54" t="inlineStr">
        <is>
          <t>コーヒー(C)　ポーション</t>
        </is>
      </c>
      <c r="N11" s="41" t="n"/>
      <c r="O11" s="41" t="n"/>
      <c r="P11" s="42" t="n"/>
      <c r="Q11" s="58" t="n">
        <v>65</v>
      </c>
      <c r="R11" s="56" t="n">
        <v>22</v>
      </c>
      <c r="S11" s="57" t="inlineStr">
        <is>
          <t>個</t>
        </is>
      </c>
      <c r="T11" s="58">
        <f>Q11*R11</f>
        <v/>
      </c>
      <c r="U11" s="3" t="n"/>
      <c r="V11" s="3" t="n"/>
      <c r="W11" s="3" t="n"/>
      <c r="X11" s="3" t="n"/>
      <c r="Y11" s="6" t="n"/>
      <c r="Z11" s="6" t="n"/>
    </row>
    <row r="12" ht="15" customHeight="1">
      <c r="A12" s="7" t="n"/>
      <c r="B12" s="8" t="n">
        <v>6</v>
      </c>
      <c r="C12" s="54" t="inlineStr">
        <is>
          <t>おいもけんぴ(小)　梅かつおチーズ</t>
        </is>
      </c>
      <c r="D12" s="41" t="n"/>
      <c r="E12" s="41" t="n"/>
      <c r="F12" s="42" t="n"/>
      <c r="G12" s="58" t="n">
        <v>221</v>
      </c>
      <c r="H12" s="56" t="n">
        <v>0</v>
      </c>
      <c r="I12" s="57" t="inlineStr">
        <is>
          <t>袋</t>
        </is>
      </c>
      <c r="J12" s="58">
        <f>G12*H12</f>
        <v/>
      </c>
      <c r="K12" s="7" t="n"/>
      <c r="L12" s="8" t="n">
        <v>56</v>
      </c>
      <c r="M12" s="54" t="inlineStr">
        <is>
          <t>コーヒー(D)</t>
        </is>
      </c>
      <c r="N12" s="41" t="n"/>
      <c r="O12" s="41" t="n"/>
      <c r="P12" s="42" t="n"/>
      <c r="Q12" s="58" t="n"/>
      <c r="R12" s="56" t="n">
        <v>100</v>
      </c>
      <c r="S12" s="57" t="inlineStr">
        <is>
          <t>個</t>
        </is>
      </c>
      <c r="T12" s="58">
        <f>Q12*R12</f>
        <v/>
      </c>
      <c r="U12" s="3" t="n"/>
      <c r="V12" s="3" t="n"/>
      <c r="W12" s="3" t="n"/>
      <c r="X12" s="3" t="n"/>
      <c r="Y12" s="6" t="n"/>
      <c r="Z12" s="6" t="n"/>
    </row>
    <row r="13" ht="15" customHeight="1">
      <c r="A13" s="7" t="n"/>
      <c r="B13" s="8" t="n">
        <v>7</v>
      </c>
      <c r="C13" s="54" t="inlineStr">
        <is>
          <t>おいもけんぴ(小)　ブラックペッパー</t>
        </is>
      </c>
      <c r="D13" s="41" t="n"/>
      <c r="E13" s="41" t="n"/>
      <c r="F13" s="42" t="n"/>
      <c r="G13" s="58" t="n">
        <v>221</v>
      </c>
      <c r="H13" s="56" t="n">
        <v>0</v>
      </c>
      <c r="I13" s="57" t="inlineStr">
        <is>
          <t>袋</t>
        </is>
      </c>
      <c r="J13" s="58">
        <f>G13*H13</f>
        <v/>
      </c>
      <c r="K13" s="7" t="n"/>
      <c r="L13" s="8" t="n">
        <v>57</v>
      </c>
      <c r="M13" s="54" t="inlineStr">
        <is>
          <t>ガムシロップ</t>
        </is>
      </c>
      <c r="N13" s="41" t="n"/>
      <c r="O13" s="41" t="n"/>
      <c r="P13" s="42" t="n"/>
      <c r="Q13" s="58" t="n">
        <v>9</v>
      </c>
      <c r="R13" s="56" t="n">
        <v>20</v>
      </c>
      <c r="S13" s="57" t="inlineStr">
        <is>
          <t>個</t>
        </is>
      </c>
      <c r="T13" s="58">
        <f>Q13*R13</f>
        <v/>
      </c>
      <c r="U13" s="3" t="n"/>
      <c r="V13" s="3" t="n"/>
      <c r="W13" s="3" t="n"/>
      <c r="X13" s="3" t="n"/>
      <c r="Y13" s="6" t="n"/>
      <c r="Z13" s="6" t="n"/>
    </row>
    <row r="14" ht="15" customHeight="1">
      <c r="A14" s="7" t="n"/>
      <c r="B14" s="8" t="n">
        <v>8</v>
      </c>
      <c r="C14" s="54" t="inlineStr">
        <is>
          <t>美腸大学いも　乳酸菌入り　1kg×5p</t>
        </is>
      </c>
      <c r="D14" s="41" t="n"/>
      <c r="E14" s="41" t="n"/>
      <c r="F14" s="42" t="n"/>
      <c r="G14" s="58" t="n">
        <v>667</v>
      </c>
      <c r="H14" s="56" t="n">
        <v>80</v>
      </c>
      <c r="I14" s="57" t="inlineStr">
        <is>
          <t>kg</t>
        </is>
      </c>
      <c r="J14" s="58">
        <f>G14*H14</f>
        <v/>
      </c>
      <c r="K14" s="7" t="n"/>
      <c r="L14" s="8" t="n">
        <v>58</v>
      </c>
      <c r="M14" s="54" t="inlineStr">
        <is>
          <t>ミルク</t>
        </is>
      </c>
      <c r="N14" s="41" t="n"/>
      <c r="O14" s="41" t="n"/>
      <c r="P14" s="42" t="n"/>
      <c r="Q14" s="58" t="n">
        <v>7</v>
      </c>
      <c r="R14" s="56" t="n">
        <v>20</v>
      </c>
      <c r="S14" s="57" t="inlineStr">
        <is>
          <t>個</t>
        </is>
      </c>
      <c r="T14" s="58">
        <f>Q14*R14</f>
        <v/>
      </c>
      <c r="U14" s="3" t="n"/>
      <c r="V14" s="3" t="n"/>
      <c r="W14" s="3" t="n"/>
      <c r="X14" s="3" t="n"/>
      <c r="Y14" s="6" t="n"/>
      <c r="Z14" s="6" t="n"/>
    </row>
    <row r="15" ht="15" customHeight="1">
      <c r="A15" s="7" t="n"/>
      <c r="B15" s="8" t="n">
        <v>9</v>
      </c>
      <c r="C15" s="54" t="inlineStr">
        <is>
          <t>製)カットやきいもLサイズ　10kg</t>
        </is>
      </c>
      <c r="D15" s="41" t="n"/>
      <c r="E15" s="41" t="n"/>
      <c r="F15" s="42" t="n"/>
      <c r="G15" s="58" t="n">
        <v>644</v>
      </c>
      <c r="H15" s="56" t="n">
        <v>20</v>
      </c>
      <c r="I15" s="57" t="inlineStr">
        <is>
          <t>kg</t>
        </is>
      </c>
      <c r="J15" s="58">
        <f>G15*H15</f>
        <v/>
      </c>
      <c r="K15" s="7" t="n"/>
      <c r="L15" s="8" t="n">
        <v>59</v>
      </c>
      <c r="M15" s="54" t="inlineStr">
        <is>
          <t>シュガースティック</t>
        </is>
      </c>
      <c r="N15" s="41" t="n"/>
      <c r="O15" s="41" t="n"/>
      <c r="P15" s="42" t="n"/>
      <c r="Q15" s="58" t="n">
        <v>1</v>
      </c>
      <c r="R15" s="56" t="n">
        <v>80</v>
      </c>
      <c r="S15" s="57" t="inlineStr">
        <is>
          <t>本</t>
        </is>
      </c>
      <c r="T15" s="58">
        <f>Q15*R15</f>
        <v/>
      </c>
      <c r="U15" s="3" t="n"/>
      <c r="V15" s="3" t="n"/>
      <c r="W15" s="3" t="n"/>
      <c r="X15" s="3" t="n"/>
      <c r="Y15" s="6" t="n"/>
      <c r="Z15" s="6" t="n"/>
    </row>
    <row r="16" ht="15" customHeight="1">
      <c r="A16" s="7" t="n"/>
      <c r="B16" s="8" t="n">
        <v>10</v>
      </c>
      <c r="C16" s="54" t="inlineStr">
        <is>
          <t>製)ヤキスイ(改良)エコノミー大　10kg</t>
        </is>
      </c>
      <c r="D16" s="41" t="n"/>
      <c r="E16" s="41" t="n"/>
      <c r="F16" s="42" t="n"/>
      <c r="G16" s="58" t="n">
        <v>6300</v>
      </c>
      <c r="H16" s="56" t="n"/>
      <c r="I16" s="57" t="inlineStr">
        <is>
          <t>C/S</t>
        </is>
      </c>
      <c r="J16" s="58">
        <f>G16*H16</f>
        <v/>
      </c>
      <c r="K16" s="7" t="n"/>
      <c r="L16" s="8" t="n">
        <v>60</v>
      </c>
      <c r="M16" s="54" t="inlineStr">
        <is>
          <t>マドラー</t>
        </is>
      </c>
      <c r="N16" s="41" t="n"/>
      <c r="O16" s="41" t="n"/>
      <c r="P16" s="42" t="n"/>
      <c r="Q16" s="58" t="n">
        <v>4</v>
      </c>
      <c r="R16" s="56" t="n">
        <v>80</v>
      </c>
      <c r="S16" s="57" t="inlineStr">
        <is>
          <t>本</t>
        </is>
      </c>
      <c r="T16" s="58">
        <f>Q16*R16</f>
        <v/>
      </c>
      <c r="U16" s="3" t="n"/>
      <c r="V16" s="3" t="n"/>
      <c r="W16" s="3" t="n"/>
      <c r="X16" s="3" t="n"/>
      <c r="Y16" s="6" t="n"/>
      <c r="Z16" s="6" t="n"/>
    </row>
    <row r="17" ht="15" customHeight="1">
      <c r="A17" s="7" t="n"/>
      <c r="B17" s="8" t="n">
        <v>11</v>
      </c>
      <c r="C17" s="54" t="inlineStr">
        <is>
          <t>ユニコン　L4　白　100枚</t>
        </is>
      </c>
      <c r="D17" s="41" t="n"/>
      <c r="E17" s="41" t="n"/>
      <c r="F17" s="42" t="n"/>
      <c r="G17" s="58" t="n">
        <v>10</v>
      </c>
      <c r="H17" s="56" t="n">
        <v>1000</v>
      </c>
      <c r="I17" s="57" t="inlineStr">
        <is>
          <t>枚</t>
        </is>
      </c>
      <c r="J17" s="58">
        <f>G17*H17</f>
        <v/>
      </c>
      <c r="K17" s="7" t="n"/>
      <c r="L17" s="8" t="n">
        <v>61</v>
      </c>
      <c r="M17" s="54" t="inlineStr">
        <is>
          <t>ホットコーヒーカップ</t>
        </is>
      </c>
      <c r="N17" s="41" t="n"/>
      <c r="O17" s="41" t="n"/>
      <c r="P17" s="42" t="n"/>
      <c r="Q17" s="58" t="n">
        <v>20</v>
      </c>
      <c r="R17" s="56" t="n">
        <v>64</v>
      </c>
      <c r="S17" s="57" t="inlineStr">
        <is>
          <t>個</t>
        </is>
      </c>
      <c r="T17" s="58">
        <f>Q17*R17</f>
        <v/>
      </c>
      <c r="U17" s="3" t="n"/>
      <c r="V17" s="3" t="n"/>
      <c r="W17" s="3" t="n"/>
      <c r="X17" s="3" t="n"/>
      <c r="Y17" s="6" t="n"/>
      <c r="Z17" s="6" t="n"/>
    </row>
    <row r="18" ht="15" customHeight="1">
      <c r="A18" s="7" t="n"/>
      <c r="B18" s="8" t="n">
        <v>12</v>
      </c>
      <c r="C18" s="54" t="inlineStr">
        <is>
          <t>ユニコン　LC6　白　50枚</t>
        </is>
      </c>
      <c r="D18" s="41" t="n"/>
      <c r="E18" s="41" t="n"/>
      <c r="F18" s="42" t="n"/>
      <c r="G18" s="58" t="n">
        <v>14</v>
      </c>
      <c r="H18" s="56" t="n">
        <v>280</v>
      </c>
      <c r="I18" s="57" t="inlineStr">
        <is>
          <t>枚</t>
        </is>
      </c>
      <c r="J18" s="58">
        <f>G18*H18</f>
        <v/>
      </c>
      <c r="K18" s="7" t="n"/>
      <c r="L18" s="8" t="n">
        <v>62</v>
      </c>
      <c r="M18" s="54" t="inlineStr">
        <is>
          <t>コーヒーカップ　ふた</t>
        </is>
      </c>
      <c r="N18" s="41" t="n"/>
      <c r="O18" s="41" t="n"/>
      <c r="P18" s="42" t="n"/>
      <c r="Q18" s="58" t="n">
        <v>9</v>
      </c>
      <c r="R18" s="56" t="n">
        <v>70</v>
      </c>
      <c r="S18" s="57" t="inlineStr">
        <is>
          <t>個</t>
        </is>
      </c>
      <c r="T18" s="58">
        <f>Q18*R18</f>
        <v/>
      </c>
      <c r="U18" s="3" t="n"/>
      <c r="V18" s="3" t="n"/>
      <c r="W18" s="3" t="n"/>
      <c r="X18" s="3" t="n"/>
      <c r="Y18" s="6" t="n"/>
      <c r="Z18" s="6" t="n"/>
    </row>
    <row r="19" ht="15" customHeight="1">
      <c r="A19" s="7" t="n"/>
      <c r="B19" s="8" t="n">
        <v>13</v>
      </c>
      <c r="C19" s="54" t="inlineStr">
        <is>
          <t>アイス用スプーン</t>
        </is>
      </c>
      <c r="D19" s="41" t="n"/>
      <c r="E19" s="41" t="n"/>
      <c r="F19" s="42" t="n"/>
      <c r="G19" s="55" t="n">
        <v>1.89</v>
      </c>
      <c r="H19" s="56" t="n">
        <v>1800</v>
      </c>
      <c r="I19" s="57" t="inlineStr">
        <is>
          <t>本</t>
        </is>
      </c>
      <c r="J19" s="58">
        <f>G19*H19</f>
        <v/>
      </c>
      <c r="K19" s="7" t="n"/>
      <c r="L19" s="8" t="n">
        <v>63</v>
      </c>
      <c r="M19" s="54" t="inlineStr">
        <is>
          <t>コーヒーストロー(緑)</t>
        </is>
      </c>
      <c r="N19" s="41" t="n"/>
      <c r="O19" s="41" t="n"/>
      <c r="P19" s="42" t="n"/>
      <c r="Q19" s="58" t="n">
        <v>2</v>
      </c>
      <c r="R19" s="56" t="n">
        <v>200</v>
      </c>
      <c r="S19" s="57" t="inlineStr">
        <is>
          <t>本</t>
        </is>
      </c>
      <c r="T19" s="58">
        <f>Q19*R19</f>
        <v/>
      </c>
      <c r="U19" s="12" t="n"/>
      <c r="V19" s="12" t="n"/>
      <c r="W19" s="12" t="n"/>
      <c r="X19" s="12" t="n"/>
      <c r="Y19" s="6" t="n"/>
      <c r="Z19" s="6" t="n"/>
    </row>
    <row r="20" ht="15" customHeight="1">
      <c r="A20" s="7" t="n"/>
      <c r="B20" s="8" t="n">
        <v>14</v>
      </c>
      <c r="C20" s="54" t="inlineStr">
        <is>
          <t>紙おしぼり　PP-1　平　無地</t>
        </is>
      </c>
      <c r="D20" s="41" t="n"/>
      <c r="E20" s="41" t="n"/>
      <c r="F20" s="42" t="n"/>
      <c r="G20" s="58" t="n">
        <v>2</v>
      </c>
      <c r="H20" s="56" t="n">
        <v>800</v>
      </c>
      <c r="I20" s="57" t="inlineStr">
        <is>
          <t>枚</t>
        </is>
      </c>
      <c r="J20" s="58">
        <f>G20*H20</f>
        <v/>
      </c>
      <c r="K20" s="7" t="n"/>
      <c r="L20" s="8" t="n">
        <v>64</v>
      </c>
      <c r="M20" s="54" t="inlineStr">
        <is>
          <t>シェイク用カップ</t>
        </is>
      </c>
      <c r="N20" s="41" t="n"/>
      <c r="O20" s="41" t="n"/>
      <c r="P20" s="42" t="n"/>
      <c r="Q20" s="58" t="n">
        <v>10</v>
      </c>
      <c r="R20" s="56" t="n">
        <v>1000</v>
      </c>
      <c r="S20" s="57" t="inlineStr">
        <is>
          <t>個</t>
        </is>
      </c>
      <c r="T20" s="58">
        <f>Q20*R20</f>
        <v/>
      </c>
      <c r="U20" s="12" t="n"/>
      <c r="V20" s="12" t="n"/>
      <c r="W20" s="12" t="n"/>
      <c r="X20" s="12" t="n"/>
      <c r="Y20" s="6" t="n"/>
      <c r="Z20" s="6" t="n"/>
    </row>
    <row r="21" ht="15" customHeight="1">
      <c r="A21" s="7" t="n"/>
      <c r="B21" s="8" t="n">
        <v>15</v>
      </c>
      <c r="C21" s="54" t="inlineStr">
        <is>
          <t>さわら十三里屋どら焼き5個箱</t>
        </is>
      </c>
      <c r="D21" s="41" t="n"/>
      <c r="E21" s="41" t="n"/>
      <c r="F21" s="42" t="n"/>
      <c r="G21" s="58" t="n">
        <v>2</v>
      </c>
      <c r="H21" s="56" t="n">
        <v>14</v>
      </c>
      <c r="I21" s="57" t="inlineStr">
        <is>
          <t>枚</t>
        </is>
      </c>
      <c r="J21" s="58">
        <f>G21*H21</f>
        <v/>
      </c>
      <c r="K21" s="7" t="n"/>
      <c r="L21" s="8" t="n">
        <v>65</v>
      </c>
      <c r="M21" s="54" t="inlineStr">
        <is>
          <t>シェイクカップ　ふた</t>
        </is>
      </c>
      <c r="N21" s="41" t="n"/>
      <c r="O21" s="41" t="n"/>
      <c r="P21" s="42" t="n"/>
      <c r="Q21" s="58" t="n"/>
      <c r="R21" s="56" t="n">
        <v>60</v>
      </c>
      <c r="S21" s="57" t="inlineStr">
        <is>
          <t>個</t>
        </is>
      </c>
      <c r="T21" s="58">
        <f>Q21*R21</f>
        <v/>
      </c>
      <c r="U21" s="12" t="n"/>
      <c r="V21" s="12" t="n"/>
      <c r="W21" s="12" t="n"/>
      <c r="X21" s="12" t="n"/>
      <c r="Y21" s="6" t="n"/>
      <c r="Z21" s="6" t="n"/>
    </row>
    <row r="22" ht="15" customHeight="1">
      <c r="A22" s="7" t="n"/>
      <c r="B22" s="8" t="n">
        <v>16</v>
      </c>
      <c r="C22" s="54" t="inlineStr">
        <is>
          <t>さわら十三里屋ビニール小</t>
        </is>
      </c>
      <c r="D22" s="41" t="n"/>
      <c r="E22" s="41" t="n"/>
      <c r="F22" s="42" t="n"/>
      <c r="G22" s="58" t="n">
        <v>6</v>
      </c>
      <c r="H22" s="56" t="n">
        <v>900</v>
      </c>
      <c r="I22" s="57" t="inlineStr">
        <is>
          <t>枚</t>
        </is>
      </c>
      <c r="J22" s="58">
        <f>G22*H22</f>
        <v/>
      </c>
      <c r="K22" s="7" t="n"/>
      <c r="L22" s="8" t="n">
        <v>66</v>
      </c>
      <c r="M22" s="54" t="inlineStr">
        <is>
          <t>お団子スリーブ</t>
        </is>
      </c>
      <c r="N22" s="41" t="n"/>
      <c r="O22" s="41" t="n"/>
      <c r="P22" s="42" t="n"/>
      <c r="Q22" s="58" t="n">
        <v>5</v>
      </c>
      <c r="R22" s="56" t="n">
        <v>3300</v>
      </c>
      <c r="S22" s="57" t="inlineStr">
        <is>
          <t>枚</t>
        </is>
      </c>
      <c r="T22" s="58">
        <f>Q22*R22</f>
        <v/>
      </c>
      <c r="U22" s="12" t="n"/>
      <c r="V22" s="12" t="n"/>
      <c r="W22" s="12" t="n"/>
      <c r="X22" s="12" t="n"/>
      <c r="Y22" s="6" t="n"/>
      <c r="Z22" s="6" t="n"/>
    </row>
    <row r="23" ht="15" customHeight="1">
      <c r="A23" s="3" t="n"/>
      <c r="B23" s="8" t="n">
        <v>17</v>
      </c>
      <c r="C23" s="54" t="inlineStr">
        <is>
          <t>十三里屋プリンシール</t>
        </is>
      </c>
      <c r="D23" s="41" t="n"/>
      <c r="E23" s="41" t="n"/>
      <c r="F23" s="42" t="n"/>
      <c r="G23" s="58" t="n">
        <v>5</v>
      </c>
      <c r="H23" s="56" t="n">
        <v>390</v>
      </c>
      <c r="I23" s="57" t="inlineStr">
        <is>
          <t>枚</t>
        </is>
      </c>
      <c r="J23" s="58">
        <f>G23*H23</f>
        <v/>
      </c>
      <c r="K23" s="3" t="n"/>
      <c r="L23" s="8" t="n">
        <v>67</v>
      </c>
      <c r="M23" s="54" t="inlineStr">
        <is>
          <t>ポテトカップ</t>
        </is>
      </c>
      <c r="N23" s="41" t="n"/>
      <c r="O23" s="41" t="n"/>
      <c r="P23" s="42" t="n"/>
      <c r="Q23" s="58" t="n">
        <v>22</v>
      </c>
      <c r="R23" s="56" t="n">
        <v>650</v>
      </c>
      <c r="S23" s="57" t="inlineStr">
        <is>
          <t>個</t>
        </is>
      </c>
      <c r="T23" s="58">
        <f>Q23*R23</f>
        <v/>
      </c>
      <c r="U23" s="12" t="n"/>
      <c r="V23" s="12" t="n"/>
      <c r="W23" s="12" t="n"/>
      <c r="X23" s="12" t="n"/>
      <c r="Y23" s="6" t="n"/>
      <c r="Z23" s="6" t="n"/>
    </row>
    <row r="24" ht="15" customHeight="1">
      <c r="A24" s="3" t="n"/>
      <c r="B24" s="8" t="n">
        <v>18</v>
      </c>
      <c r="C24" s="54" t="inlineStr">
        <is>
          <t>和紙タイ(モスグリーン)</t>
        </is>
      </c>
      <c r="D24" s="41" t="n"/>
      <c r="E24" s="41" t="n"/>
      <c r="F24" s="42" t="n"/>
      <c r="G24" s="55" t="n">
        <v>1.3</v>
      </c>
      <c r="H24" s="56" t="n">
        <v>300</v>
      </c>
      <c r="I24" s="57" t="inlineStr">
        <is>
          <t>個</t>
        </is>
      </c>
      <c r="J24" s="58">
        <f>G24*H24</f>
        <v/>
      </c>
      <c r="K24" s="3" t="n"/>
      <c r="L24" s="8" t="n">
        <v>68</v>
      </c>
      <c r="M24" s="54" t="inlineStr">
        <is>
          <t>ポテト(アイス)カップ</t>
        </is>
      </c>
      <c r="N24" s="41" t="n"/>
      <c r="O24" s="41" t="n"/>
      <c r="P24" s="42" t="n"/>
      <c r="Q24" s="58" t="n">
        <v>18</v>
      </c>
      <c r="R24" s="56" t="n"/>
      <c r="S24" s="57" t="inlineStr">
        <is>
          <t>個</t>
        </is>
      </c>
      <c r="T24" s="58">
        <f>Q24*R24</f>
        <v/>
      </c>
      <c r="U24" s="12" t="n"/>
      <c r="V24" s="12" t="n"/>
      <c r="W24" s="12" t="n"/>
      <c r="X24" s="12" t="n"/>
      <c r="Y24" s="6" t="n"/>
      <c r="Z24" s="6" t="n"/>
    </row>
    <row r="25" ht="15" customHeight="1">
      <c r="A25" s="3" t="n"/>
      <c r="B25" s="8" t="n">
        <v>19</v>
      </c>
      <c r="C25" s="54" t="inlineStr">
        <is>
          <t>十三里ロゴシール08(30×30)</t>
        </is>
      </c>
      <c r="D25" s="41" t="n"/>
      <c r="E25" s="41" t="n"/>
      <c r="F25" s="42" t="n"/>
      <c r="G25" s="55" t="n">
        <v>1.7</v>
      </c>
      <c r="H25" s="56" t="n">
        <v>500</v>
      </c>
      <c r="I25" s="57" t="inlineStr">
        <is>
          <t>枚</t>
        </is>
      </c>
      <c r="J25" s="58">
        <f>G25*H25</f>
        <v/>
      </c>
      <c r="K25" s="3" t="n"/>
      <c r="L25" s="8" t="n">
        <v>69</v>
      </c>
      <c r="M25" s="54" t="inlineStr">
        <is>
          <t>ボールカップ</t>
        </is>
      </c>
      <c r="N25" s="41" t="n"/>
      <c r="O25" s="41" t="n"/>
      <c r="P25" s="42" t="n"/>
      <c r="Q25" s="58" t="n"/>
      <c r="R25" s="56" t="n">
        <v>250</v>
      </c>
      <c r="S25" s="57" t="inlineStr">
        <is>
          <t>個</t>
        </is>
      </c>
      <c r="T25" s="58">
        <f>Q25*R25</f>
        <v/>
      </c>
      <c r="U25" s="12" t="n"/>
      <c r="V25" s="12" t="n"/>
      <c r="W25" s="12" t="n"/>
      <c r="X25" s="12" t="n"/>
      <c r="Y25" s="6" t="n"/>
      <c r="Z25" s="6" t="n"/>
    </row>
    <row r="26" ht="15" customHeight="1">
      <c r="A26" s="3" t="n"/>
      <c r="B26" s="8" t="n">
        <v>20</v>
      </c>
      <c r="C26" s="54" t="inlineStr">
        <is>
          <t>さわら十三里屋ロゴシール(30×30)</t>
        </is>
      </c>
      <c r="D26" s="41" t="n"/>
      <c r="E26" s="41" t="n"/>
      <c r="F26" s="42" t="n"/>
      <c r="G26" s="55" t="n">
        <v>1.2</v>
      </c>
      <c r="H26" s="56" t="n">
        <v>350</v>
      </c>
      <c r="I26" s="57" t="inlineStr">
        <is>
          <t>枚</t>
        </is>
      </c>
      <c r="J26" s="58">
        <f>G26*H26</f>
        <v/>
      </c>
      <c r="K26" s="3" t="n"/>
      <c r="L26" s="8" t="n">
        <v>70</v>
      </c>
      <c r="M26" s="54" t="inlineStr">
        <is>
          <t>バーガー袋</t>
        </is>
      </c>
      <c r="N26" s="41" t="n"/>
      <c r="O26" s="41" t="n"/>
      <c r="P26" s="42" t="n"/>
      <c r="Q26" s="58" t="n">
        <v>4</v>
      </c>
      <c r="R26" s="56" t="n"/>
      <c r="S26" s="57" t="inlineStr">
        <is>
          <t>枚</t>
        </is>
      </c>
      <c r="T26" s="58">
        <f>Q26*R26</f>
        <v/>
      </c>
      <c r="U26" s="12" t="n"/>
      <c r="V26" s="12" t="n"/>
      <c r="W26" s="12" t="n"/>
      <c r="X26" s="12" t="n"/>
      <c r="Y26" s="6" t="n"/>
      <c r="Z26" s="6" t="n"/>
    </row>
    <row r="27" ht="15" customHeight="1">
      <c r="A27" s="3" t="n"/>
      <c r="B27" s="8" t="n">
        <v>21</v>
      </c>
      <c r="C27" s="54" t="inlineStr">
        <is>
          <t>ゴミ袋　EH15-70　半透明(70L)</t>
        </is>
      </c>
      <c r="D27" s="41" t="n"/>
      <c r="E27" s="41" t="n"/>
      <c r="F27" s="42" t="n"/>
      <c r="G27" s="58" t="n">
        <v>87</v>
      </c>
      <c r="H27" s="56" t="n">
        <v>28</v>
      </c>
      <c r="I27" s="57" t="inlineStr">
        <is>
          <t>袋</t>
        </is>
      </c>
      <c r="J27" s="58">
        <f>G27*H27</f>
        <v/>
      </c>
      <c r="K27" s="3" t="n"/>
      <c r="L27" s="8" t="n">
        <v>71</v>
      </c>
      <c r="M27" s="54" t="inlineStr">
        <is>
          <t>食器用洗剤</t>
        </is>
      </c>
      <c r="N27" s="41" t="n"/>
      <c r="O27" s="41" t="n"/>
      <c r="P27" s="42" t="n"/>
      <c r="Q27" s="58" t="n"/>
      <c r="R27" s="56" t="n">
        <v>0.5</v>
      </c>
      <c r="S27" s="57" t="inlineStr">
        <is>
          <t>本</t>
        </is>
      </c>
      <c r="T27" s="58">
        <f>Q27*R27</f>
        <v/>
      </c>
      <c r="U27" s="12" t="n"/>
      <c r="V27" s="12" t="n"/>
      <c r="W27" s="12" t="n"/>
      <c r="X27" s="12" t="n"/>
      <c r="Y27" s="6" t="n"/>
      <c r="Z27" s="6" t="n"/>
    </row>
    <row r="28" ht="15" customHeight="1">
      <c r="A28" s="3" t="n"/>
      <c r="B28" s="8" t="n">
        <v>23</v>
      </c>
      <c r="C28" s="54" t="inlineStr">
        <is>
          <t>PE03.NO9　ビニール袋　100枚</t>
        </is>
      </c>
      <c r="D28" s="41" t="n"/>
      <c r="E28" s="41" t="n"/>
      <c r="F28" s="42" t="n"/>
      <c r="G28" s="58" t="n">
        <v>134</v>
      </c>
      <c r="H28" s="56" t="n">
        <v>350</v>
      </c>
      <c r="I28" s="57" t="inlineStr">
        <is>
          <t>袋</t>
        </is>
      </c>
      <c r="J28" s="58">
        <f>G28*H28</f>
        <v/>
      </c>
      <c r="K28" s="3" t="n"/>
      <c r="L28" s="8" t="n">
        <v>72</v>
      </c>
      <c r="M28" s="54" t="inlineStr">
        <is>
          <t>ラップ</t>
        </is>
      </c>
      <c r="N28" s="41" t="n"/>
      <c r="O28" s="41" t="n"/>
      <c r="P28" s="42" t="n"/>
      <c r="Q28" s="58" t="n"/>
      <c r="R28" s="56" t="n">
        <v>8</v>
      </c>
      <c r="S28" s="57" t="inlineStr">
        <is>
          <t>本</t>
        </is>
      </c>
      <c r="T28" s="58">
        <f>Q28*R28</f>
        <v/>
      </c>
      <c r="U28" s="12" t="n"/>
      <c r="V28" s="12" t="n"/>
      <c r="W28" s="12" t="n"/>
      <c r="X28" s="12" t="n"/>
      <c r="Y28" s="6" t="n"/>
      <c r="Z28" s="6" t="n"/>
    </row>
    <row r="29" ht="15" customHeight="1">
      <c r="A29" s="3" t="n"/>
      <c r="B29" s="8" t="n">
        <v>23</v>
      </c>
      <c r="C29" s="54" t="inlineStr">
        <is>
          <t>アルミホイル　30×50</t>
        </is>
      </c>
      <c r="D29" s="41" t="n"/>
      <c r="E29" s="41" t="n"/>
      <c r="F29" s="42" t="n"/>
      <c r="G29" s="59" t="n">
        <v>773</v>
      </c>
      <c r="H29" s="56" t="n">
        <v>5</v>
      </c>
      <c r="I29" s="57" t="inlineStr">
        <is>
          <t>本</t>
        </is>
      </c>
      <c r="J29" s="58">
        <f>G29*H29</f>
        <v/>
      </c>
      <c r="K29" s="3" t="n"/>
      <c r="L29" s="8" t="n">
        <v>73</v>
      </c>
      <c r="M29" s="54" t="inlineStr">
        <is>
          <t>水切りネット</t>
        </is>
      </c>
      <c r="N29" s="41" t="n"/>
      <c r="O29" s="41" t="n"/>
      <c r="P29" s="42" t="n"/>
      <c r="Q29" s="58" t="n"/>
      <c r="R29" s="56" t="n">
        <v>3</v>
      </c>
      <c r="S29" s="57" t="inlineStr">
        <is>
          <t>箱</t>
        </is>
      </c>
      <c r="T29" s="58">
        <f>Q29*R29</f>
        <v/>
      </c>
      <c r="U29" s="12" t="n"/>
      <c r="V29" s="12" t="n"/>
      <c r="W29" s="12" t="n"/>
      <c r="X29" s="12" t="n"/>
      <c r="Y29" s="6" t="n"/>
      <c r="Z29" s="6" t="n"/>
    </row>
    <row r="30" ht="15" customHeight="1">
      <c r="A30" s="3" t="n"/>
      <c r="B30" s="8" t="n">
        <v>24</v>
      </c>
      <c r="C30" s="54" t="inlineStr">
        <is>
          <t>製造用手袋(ニトリル)　M　100枚</t>
        </is>
      </c>
      <c r="D30" s="41" t="n"/>
      <c r="E30" s="41" t="n"/>
      <c r="F30" s="42" t="n"/>
      <c r="G30" s="58" t="n">
        <v>500</v>
      </c>
      <c r="H30" s="56" t="n">
        <v>4</v>
      </c>
      <c r="I30" s="57" t="inlineStr">
        <is>
          <t>箱</t>
        </is>
      </c>
      <c r="J30" s="58">
        <f>G30*H30</f>
        <v/>
      </c>
      <c r="K30" s="3" t="n"/>
      <c r="L30" s="8" t="n">
        <v>74</v>
      </c>
      <c r="M30" s="54" t="inlineStr">
        <is>
          <t>シェイクストロー</t>
        </is>
      </c>
      <c r="N30" s="41" t="n"/>
      <c r="O30" s="41" t="n"/>
      <c r="P30" s="42" t="n"/>
      <c r="Q30" s="58" t="n">
        <v>1382</v>
      </c>
      <c r="R30" s="56" t="n">
        <v>9</v>
      </c>
      <c r="S30" s="57" t="inlineStr">
        <is>
          <t>箱</t>
        </is>
      </c>
      <c r="T30" s="58">
        <f>Q30*R30</f>
        <v/>
      </c>
      <c r="U30" s="12" t="n"/>
      <c r="V30" s="12" t="n"/>
      <c r="W30" s="12" t="n"/>
      <c r="X30" s="12" t="n"/>
      <c r="Y30" s="6" t="n"/>
      <c r="Z30" s="6" t="n"/>
    </row>
    <row r="31" ht="15" customHeight="1">
      <c r="A31" s="3" t="n"/>
      <c r="B31" s="8" t="n">
        <v>25</v>
      </c>
      <c r="C31" s="54" t="inlineStr">
        <is>
          <t>ポリグローブ　内エンボス　M100枚</t>
        </is>
      </c>
      <c r="D31" s="41" t="n"/>
      <c r="E31" s="41" t="n"/>
      <c r="F31" s="42" t="n"/>
      <c r="G31" s="58" t="n">
        <v>136</v>
      </c>
      <c r="H31" s="56" t="n">
        <v>6</v>
      </c>
      <c r="I31" s="57" t="inlineStr">
        <is>
          <t>箱</t>
        </is>
      </c>
      <c r="J31" s="58">
        <f>G31*H31</f>
        <v/>
      </c>
      <c r="K31" s="3" t="n"/>
      <c r="L31" s="8" t="n">
        <v>75</v>
      </c>
      <c r="M31" s="54" t="inlineStr">
        <is>
          <t>テーブルふきん(ピンク)</t>
        </is>
      </c>
      <c r="N31" s="41" t="n"/>
      <c r="O31" s="41" t="n"/>
      <c r="P31" s="42" t="n"/>
      <c r="Q31" s="58" t="n"/>
      <c r="R31" s="56" t="n">
        <v>2</v>
      </c>
      <c r="S31" s="57" t="inlineStr">
        <is>
          <t>袋</t>
        </is>
      </c>
      <c r="T31" s="58">
        <f>Q31*R31</f>
        <v/>
      </c>
      <c r="U31" s="12" t="n"/>
      <c r="V31" s="12" t="n"/>
      <c r="W31" s="12" t="n"/>
      <c r="X31" s="12" t="n"/>
      <c r="Y31" s="6" t="n"/>
      <c r="Z31" s="6" t="n"/>
    </row>
    <row r="32" ht="15" customHeight="1">
      <c r="A32" s="3" t="n"/>
      <c r="B32" s="8" t="n">
        <v>26</v>
      </c>
      <c r="C32" s="54" t="inlineStr">
        <is>
          <t>ペーパータオル　ミニ(300枚)</t>
        </is>
      </c>
      <c r="D32" s="41" t="n"/>
      <c r="E32" s="41" t="n"/>
      <c r="F32" s="42" t="n"/>
      <c r="G32" s="58" t="n">
        <v>86</v>
      </c>
      <c r="H32" s="56" t="n">
        <v>30</v>
      </c>
      <c r="I32" s="57" t="inlineStr">
        <is>
          <t>パック</t>
        </is>
      </c>
      <c r="J32" s="58">
        <f>G32*H32</f>
        <v/>
      </c>
      <c r="K32" s="3" t="n"/>
      <c r="L32" s="8" t="n">
        <v>76</v>
      </c>
      <c r="M32" s="54" t="inlineStr">
        <is>
          <t>PayCAS　ロールペーパー</t>
        </is>
      </c>
      <c r="N32" s="41" t="n"/>
      <c r="O32" s="41" t="n"/>
      <c r="P32" s="42" t="n"/>
      <c r="Q32" s="58" t="n"/>
      <c r="R32" s="56" t="n">
        <v>0.5</v>
      </c>
      <c r="S32" s="57" t="inlineStr">
        <is>
          <t>本</t>
        </is>
      </c>
      <c r="T32" s="58">
        <f>Q32*R32</f>
        <v/>
      </c>
      <c r="U32" s="12" t="n"/>
      <c r="V32" s="12" t="n"/>
      <c r="W32" s="12" t="n"/>
      <c r="X32" s="12" t="n"/>
      <c r="Y32" s="6" t="n"/>
      <c r="Z32" s="6" t="n"/>
    </row>
    <row r="33" ht="15" customHeight="1">
      <c r="A33" s="3" t="n"/>
      <c r="B33" s="8" t="n">
        <v>27</v>
      </c>
      <c r="C33" s="54" t="inlineStr">
        <is>
          <t>セーフハンド　4kg　詰め替え用</t>
        </is>
      </c>
      <c r="D33" s="41" t="n"/>
      <c r="E33" s="41" t="n"/>
      <c r="F33" s="42" t="n"/>
      <c r="G33" s="58" t="n">
        <v>3360</v>
      </c>
      <c r="H33" s="56" t="n">
        <v>1</v>
      </c>
      <c r="I33" s="57" t="inlineStr">
        <is>
          <t>本</t>
        </is>
      </c>
      <c r="J33" s="58">
        <f>G33*H33</f>
        <v/>
      </c>
      <c r="K33" s="3" t="n"/>
      <c r="L33" s="8" t="n">
        <v>77</v>
      </c>
      <c r="M33" s="54" t="n"/>
      <c r="N33" s="41" t="n"/>
      <c r="O33" s="41" t="n"/>
      <c r="P33" s="42" t="n"/>
      <c r="Q33" s="58" t="n"/>
      <c r="R33" s="56" t="n"/>
      <c r="S33" s="57" t="n"/>
      <c r="T33" s="58">
        <f>Q33*R33</f>
        <v/>
      </c>
      <c r="U33" s="12" t="n"/>
      <c r="V33" s="12" t="n"/>
      <c r="W33" s="12" t="n"/>
      <c r="X33" s="12" t="n"/>
      <c r="Y33" s="6" t="n"/>
      <c r="Z33" s="6" t="n"/>
    </row>
    <row r="34" ht="15" customHeight="1">
      <c r="A34" s="3" t="n"/>
      <c r="B34" s="8" t="n">
        <v>28</v>
      </c>
      <c r="C34" s="54" t="inlineStr">
        <is>
          <t>洗浄スポンジ(キクロン)</t>
        </is>
      </c>
      <c r="D34" s="41" t="n"/>
      <c r="E34" s="41" t="n"/>
      <c r="F34" s="42" t="n"/>
      <c r="G34" s="58" t="n">
        <v>118</v>
      </c>
      <c r="H34" s="56" t="n">
        <v>10</v>
      </c>
      <c r="I34" s="57" t="inlineStr">
        <is>
          <t>個</t>
        </is>
      </c>
      <c r="J34" s="58">
        <f>G34*H34</f>
        <v/>
      </c>
      <c r="K34" s="3" t="n"/>
      <c r="L34" s="8" t="n">
        <v>78</v>
      </c>
      <c r="M34" s="54" t="n"/>
      <c r="N34" s="41" t="n"/>
      <c r="O34" s="41" t="n"/>
      <c r="P34" s="42" t="n"/>
      <c r="Q34" s="58" t="n"/>
      <c r="R34" s="56" t="n"/>
      <c r="S34" s="57" t="n"/>
      <c r="T34" s="58">
        <f>Q34*R34</f>
        <v/>
      </c>
      <c r="U34" s="12" t="n"/>
      <c r="V34" s="12" t="n"/>
      <c r="W34" s="12" t="n"/>
      <c r="X34" s="12" t="n"/>
      <c r="Y34" s="6" t="n"/>
      <c r="Z34" s="6" t="n"/>
    </row>
    <row r="35" ht="15" customHeight="1">
      <c r="A35" s="3" t="n"/>
      <c r="B35" s="8" t="n">
        <v>29</v>
      </c>
      <c r="C35" s="54" t="inlineStr">
        <is>
          <t>レジロールサーマルロール紙58B　5巻</t>
        </is>
      </c>
      <c r="D35" s="41" t="n"/>
      <c r="E35" s="41" t="n"/>
      <c r="F35" s="42" t="n"/>
      <c r="G35" s="58" t="n">
        <v>473</v>
      </c>
      <c r="H35" s="56" t="n">
        <v>3</v>
      </c>
      <c r="I35" s="57" t="inlineStr">
        <is>
          <t>パック</t>
        </is>
      </c>
      <c r="J35" s="58">
        <f>G35*H35</f>
        <v/>
      </c>
      <c r="K35" s="3" t="n"/>
      <c r="L35" s="8" t="n">
        <v>79</v>
      </c>
      <c r="M35" s="54" t="n"/>
      <c r="N35" s="41" t="n"/>
      <c r="O35" s="41" t="n"/>
      <c r="P35" s="42" t="n"/>
      <c r="Q35" s="58" t="n"/>
      <c r="R35" s="56" t="n"/>
      <c r="S35" s="57" t="n"/>
      <c r="T35" s="58">
        <f>Q35*R35</f>
        <v/>
      </c>
      <c r="U35" s="12" t="n"/>
      <c r="V35" s="12" t="n"/>
      <c r="W35" s="12" t="n"/>
      <c r="X35" s="12" t="n"/>
      <c r="Y35" s="6" t="n"/>
      <c r="Z35" s="6" t="n"/>
    </row>
    <row r="36" ht="15" customHeight="1">
      <c r="A36" s="3" t="n"/>
      <c r="B36" s="8" t="n">
        <v>30</v>
      </c>
      <c r="C36" s="54" t="inlineStr">
        <is>
          <t>セーフコール58　5L　アルコール製剤</t>
        </is>
      </c>
      <c r="D36" s="41" t="n"/>
      <c r="E36" s="41" t="n"/>
      <c r="F36" s="42" t="n"/>
      <c r="G36" s="58" t="n">
        <v>1386</v>
      </c>
      <c r="H36" s="56" t="n">
        <v>15</v>
      </c>
      <c r="I36" s="57" t="inlineStr">
        <is>
          <t>本</t>
        </is>
      </c>
      <c r="J36" s="58">
        <f>G36*H36</f>
        <v/>
      </c>
      <c r="K36" s="3" t="n"/>
      <c r="L36" s="8" t="n">
        <v>80</v>
      </c>
      <c r="M36" s="54" t="n"/>
      <c r="N36" s="41" t="n"/>
      <c r="O36" s="41" t="n"/>
      <c r="P36" s="42" t="n"/>
      <c r="Q36" s="58" t="n"/>
      <c r="R36" s="56" t="n"/>
      <c r="S36" s="57" t="n"/>
      <c r="T36" s="58">
        <f>Q36*R36</f>
        <v/>
      </c>
      <c r="U36" s="12" t="n"/>
      <c r="V36" s="12" t="n"/>
      <c r="W36" s="12" t="n"/>
      <c r="X36" s="12" t="n"/>
      <c r="Y36" s="6" t="n"/>
      <c r="Z36" s="6" t="n"/>
    </row>
    <row r="37" ht="15" customHeight="1">
      <c r="A37" s="7" t="n"/>
      <c r="B37" s="8" t="n">
        <v>31</v>
      </c>
      <c r="C37" s="54" t="inlineStr">
        <is>
          <t>カシマ大学芋用カップ　T290SSS</t>
        </is>
      </c>
      <c r="D37" s="41" t="n"/>
      <c r="E37" s="41" t="n"/>
      <c r="F37" s="42" t="n"/>
      <c r="G37" s="58" t="n">
        <v>13</v>
      </c>
      <c r="H37" s="56" t="n">
        <v>50</v>
      </c>
      <c r="I37" s="57" t="inlineStr">
        <is>
          <t>枚</t>
        </is>
      </c>
      <c r="J37" s="58">
        <f>G37*H37</f>
        <v/>
      </c>
      <c r="K37" s="7" t="n"/>
      <c r="L37" s="8" t="n">
        <v>81</v>
      </c>
      <c r="M37" s="54" t="n"/>
      <c r="N37" s="41" t="n"/>
      <c r="O37" s="41" t="n"/>
      <c r="P37" s="42" t="n"/>
      <c r="Q37" s="58" t="n"/>
      <c r="R37" s="56" t="n"/>
      <c r="S37" s="57" t="n"/>
      <c r="T37" s="58">
        <f>Q37*R37</f>
        <v/>
      </c>
      <c r="U37" s="3" t="n"/>
      <c r="V37" s="3" t="n"/>
      <c r="W37" s="3" t="n"/>
      <c r="X37" s="3" t="n"/>
      <c r="Y37" s="6" t="n"/>
      <c r="Z37" s="6" t="n"/>
    </row>
    <row r="38" ht="15" customHeight="1">
      <c r="A38" s="7" t="n"/>
      <c r="B38" s="8" t="n">
        <v>32</v>
      </c>
      <c r="C38" s="54" t="inlineStr">
        <is>
          <t>干しいも</t>
        </is>
      </c>
      <c r="D38" s="41" t="n"/>
      <c r="E38" s="41" t="n"/>
      <c r="F38" s="42" t="n"/>
      <c r="G38" s="58" t="n"/>
      <c r="H38" s="56" t="n">
        <v>0</v>
      </c>
      <c r="I38" s="57" t="inlineStr">
        <is>
          <t>個</t>
        </is>
      </c>
      <c r="J38" s="58">
        <f>G38*H38</f>
        <v/>
      </c>
      <c r="K38" s="7" t="n"/>
      <c r="L38" s="8" t="n">
        <v>82</v>
      </c>
      <c r="M38" s="54" t="n"/>
      <c r="N38" s="41" t="n"/>
      <c r="O38" s="41" t="n"/>
      <c r="P38" s="42" t="n"/>
      <c r="Q38" s="58" t="n"/>
      <c r="R38" s="56" t="n"/>
      <c r="S38" s="57" t="n"/>
      <c r="T38" s="58">
        <f>Q38*R38</f>
        <v/>
      </c>
      <c r="U38" s="3" t="n"/>
      <c r="V38" s="3" t="n"/>
      <c r="W38" s="3" t="n"/>
      <c r="X38" s="3" t="n"/>
      <c r="Y38" s="6" t="n"/>
      <c r="Z38" s="6" t="n"/>
    </row>
    <row r="39" ht="15" customHeight="1">
      <c r="A39" s="7" t="n"/>
      <c r="B39" s="8" t="n">
        <v>33</v>
      </c>
      <c r="C39" s="54" t="inlineStr">
        <is>
          <t>干しいもだんご</t>
        </is>
      </c>
      <c r="D39" s="41" t="n"/>
      <c r="E39" s="41" t="n"/>
      <c r="F39" s="42" t="n"/>
      <c r="G39" s="58" t="n">
        <v>79</v>
      </c>
      <c r="H39" s="56" t="n">
        <v>180</v>
      </c>
      <c r="I39" s="57" t="inlineStr">
        <is>
          <t>本</t>
        </is>
      </c>
      <c r="J39" s="58">
        <f>G39*H39</f>
        <v/>
      </c>
      <c r="K39" s="7" t="n"/>
      <c r="L39" s="8" t="n">
        <v>83</v>
      </c>
      <c r="M39" s="54" t="n"/>
      <c r="N39" s="41" t="n"/>
      <c r="O39" s="41" t="n"/>
      <c r="P39" s="42" t="n"/>
      <c r="Q39" s="58" t="n"/>
      <c r="R39" s="56" t="n"/>
      <c r="S39" s="57" t="n"/>
      <c r="T39" s="58">
        <f>Q39*R39</f>
        <v/>
      </c>
      <c r="U39" s="3" t="n"/>
      <c r="V39" s="3" t="n"/>
      <c r="W39" s="3" t="n"/>
      <c r="X39" s="3" t="n"/>
      <c r="Y39" s="6" t="n"/>
      <c r="Z39" s="6" t="n"/>
    </row>
    <row r="40" ht="15" customHeight="1">
      <c r="A40" s="7" t="n"/>
      <c r="B40" s="8" t="n">
        <v>34</v>
      </c>
      <c r="C40" s="54" t="inlineStr">
        <is>
          <t>芋みつたれ</t>
        </is>
      </c>
      <c r="D40" s="41" t="n"/>
      <c r="E40" s="41" t="n"/>
      <c r="F40" s="42" t="n"/>
      <c r="G40" s="58" t="n">
        <v>400</v>
      </c>
      <c r="H40" s="56" t="n">
        <v>1</v>
      </c>
      <c r="I40" s="57" t="inlineStr">
        <is>
          <t>ケース</t>
        </is>
      </c>
      <c r="J40" s="58">
        <f>G40*H40</f>
        <v/>
      </c>
      <c r="K40" s="7" t="n"/>
      <c r="L40" s="8" t="n">
        <v>84</v>
      </c>
      <c r="M40" s="54" t="n"/>
      <c r="N40" s="41" t="n"/>
      <c r="O40" s="41" t="n"/>
      <c r="P40" s="42" t="n"/>
      <c r="Q40" s="58" t="n"/>
      <c r="R40" s="56" t="n"/>
      <c r="S40" s="57" t="n"/>
      <c r="T40" s="58">
        <f>Q40*R40</f>
        <v/>
      </c>
      <c r="U40" s="3" t="n"/>
      <c r="V40" s="3" t="n"/>
      <c r="W40" s="3" t="n"/>
      <c r="X40" s="3" t="n"/>
      <c r="Y40" s="6" t="n"/>
      <c r="Z40" s="6" t="n"/>
    </row>
    <row r="41" ht="15" customHeight="1">
      <c r="A41" s="7" t="n"/>
      <c r="B41" s="8" t="n">
        <v>35</v>
      </c>
      <c r="C41" s="54" t="inlineStr">
        <is>
          <t>あんこ　2kg</t>
        </is>
      </c>
      <c r="D41" s="41" t="n"/>
      <c r="E41" s="41" t="n"/>
      <c r="F41" s="42" t="n"/>
      <c r="G41" s="58" t="n">
        <v>1354</v>
      </c>
      <c r="H41" s="56" t="n">
        <v>14</v>
      </c>
      <c r="I41" s="57" t="inlineStr">
        <is>
          <t>2kg</t>
        </is>
      </c>
      <c r="J41" s="58">
        <f>G41*H41</f>
        <v/>
      </c>
      <c r="K41" s="7" t="n"/>
      <c r="L41" s="8" t="n">
        <v>85</v>
      </c>
      <c r="M41" s="54" t="n"/>
      <c r="N41" s="41" t="n"/>
      <c r="O41" s="41" t="n"/>
      <c r="P41" s="42" t="n"/>
      <c r="Q41" s="58" t="n"/>
      <c r="R41" s="56" t="n"/>
      <c r="S41" s="60" t="n"/>
      <c r="T41" s="58">
        <f>Q41*R41</f>
        <v/>
      </c>
      <c r="U41" s="3" t="n"/>
      <c r="V41" s="3" t="n"/>
      <c r="W41" s="3" t="n"/>
      <c r="X41" s="3" t="n"/>
      <c r="Y41" s="6" t="n"/>
      <c r="Z41" s="6" t="n"/>
    </row>
    <row r="42" ht="15" customHeight="1">
      <c r="A42" s="7" t="n"/>
      <c r="B42" s="8" t="n">
        <v>36</v>
      </c>
      <c r="C42" s="54" t="inlineStr">
        <is>
          <t>芋どら用皮</t>
        </is>
      </c>
      <c r="D42" s="41" t="n"/>
      <c r="E42" s="41" t="n"/>
      <c r="F42" s="42" t="n"/>
      <c r="G42" s="58" t="n">
        <v>70</v>
      </c>
      <c r="H42" s="56" t="n">
        <v>180</v>
      </c>
      <c r="I42" s="57" t="inlineStr">
        <is>
          <t>枚</t>
        </is>
      </c>
      <c r="J42" s="58">
        <f>G42*H42</f>
        <v/>
      </c>
      <c r="K42" s="7" t="n"/>
      <c r="L42" s="8" t="n">
        <v>86</v>
      </c>
      <c r="M42" s="54" t="n"/>
      <c r="N42" s="41" t="n"/>
      <c r="O42" s="41" t="n"/>
      <c r="P42" s="42" t="n"/>
      <c r="Q42" s="58" t="n"/>
      <c r="R42" s="56" t="n"/>
      <c r="S42" s="60" t="n"/>
      <c r="T42" s="58">
        <f>Q42*R42</f>
        <v/>
      </c>
      <c r="U42" s="3" t="n"/>
      <c r="V42" s="3" t="n"/>
      <c r="W42" s="3" t="n"/>
      <c r="X42" s="3" t="n"/>
      <c r="Y42" s="6" t="n"/>
      <c r="Z42" s="6" t="n"/>
    </row>
    <row r="43" ht="15" customHeight="1">
      <c r="A43" s="7" t="n"/>
      <c r="B43" s="8" t="n">
        <v>37</v>
      </c>
      <c r="C43" s="54" t="inlineStr">
        <is>
          <t>ピック(2000本入)</t>
        </is>
      </c>
      <c r="D43" s="41" t="n"/>
      <c r="E43" s="41" t="n"/>
      <c r="F43" s="42" t="n"/>
      <c r="G43" s="55" t="n">
        <v>1.7</v>
      </c>
      <c r="H43" s="56" t="n">
        <v>500</v>
      </c>
      <c r="I43" s="57" t="inlineStr">
        <is>
          <t>本</t>
        </is>
      </c>
      <c r="J43" s="58">
        <f>G43*H43</f>
        <v/>
      </c>
      <c r="K43" s="7" t="n"/>
      <c r="L43" s="8" t="n">
        <v>87</v>
      </c>
      <c r="M43" s="54" t="n"/>
      <c r="N43" s="41" t="n"/>
      <c r="O43" s="41" t="n"/>
      <c r="P43" s="42" t="n"/>
      <c r="Q43" s="58" t="n"/>
      <c r="R43" s="56" t="n"/>
      <c r="S43" s="57" t="n"/>
      <c r="T43" s="58">
        <f>Q43*R43</f>
        <v/>
      </c>
      <c r="U43" s="3" t="n"/>
      <c r="V43" s="3" t="n"/>
      <c r="W43" s="3" t="n"/>
      <c r="X43" s="3" t="n"/>
      <c r="Y43" s="6" t="n"/>
      <c r="Z43" s="6" t="n"/>
    </row>
    <row r="44" ht="15" customHeight="1">
      <c r="A44" s="7" t="n"/>
      <c r="B44" s="8" t="n">
        <v>38</v>
      </c>
      <c r="C44" s="54" t="inlineStr">
        <is>
          <t>芋みつ梅酒</t>
        </is>
      </c>
      <c r="D44" s="41" t="n"/>
      <c r="E44" s="41" t="n"/>
      <c r="F44" s="42" t="n"/>
      <c r="G44" s="58" t="n">
        <v>750</v>
      </c>
      <c r="H44" s="56" t="n">
        <v>0</v>
      </c>
      <c r="I44" s="57" t="inlineStr">
        <is>
          <t>本</t>
        </is>
      </c>
      <c r="J44" s="58">
        <f>G44*H44</f>
        <v/>
      </c>
      <c r="K44" s="7" t="n"/>
      <c r="L44" s="8" t="n">
        <v>88</v>
      </c>
      <c r="M44" s="54" t="n"/>
      <c r="N44" s="41" t="n"/>
      <c r="O44" s="41" t="n"/>
      <c r="P44" s="42" t="n"/>
      <c r="Q44" s="58" t="n"/>
      <c r="R44" s="56" t="n"/>
      <c r="S44" s="57" t="n"/>
      <c r="T44" s="58">
        <f>Q44*R44</f>
        <v/>
      </c>
      <c r="U44" s="3" t="n"/>
      <c r="V44" s="3" t="n"/>
      <c r="W44" s="3" t="n"/>
      <c r="X44" s="3" t="n"/>
      <c r="Y44" s="6" t="n"/>
      <c r="Z44" s="6" t="n"/>
    </row>
    <row r="45" ht="15" customHeight="1">
      <c r="A45" s="7" t="n"/>
      <c r="B45" s="8" t="n">
        <v>39</v>
      </c>
      <c r="C45" s="54" t="inlineStr">
        <is>
          <t>窯出しポテトアップルパイ</t>
        </is>
      </c>
      <c r="D45" s="41" t="n"/>
      <c r="E45" s="41" t="n"/>
      <c r="F45" s="42" t="n"/>
      <c r="G45" s="58" t="n">
        <v>180</v>
      </c>
      <c r="H45" s="56" t="n">
        <v>1</v>
      </c>
      <c r="I45" s="57" t="inlineStr">
        <is>
          <t>ケース</t>
        </is>
      </c>
      <c r="J45" s="58">
        <f>G45*H45</f>
        <v/>
      </c>
      <c r="K45" s="7" t="n"/>
      <c r="L45" s="8" t="n">
        <v>89</v>
      </c>
      <c r="M45" s="54" t="n"/>
      <c r="N45" s="41" t="n"/>
      <c r="O45" s="41" t="n"/>
      <c r="P45" s="42" t="n"/>
      <c r="Q45" s="58" t="n"/>
      <c r="R45" s="56" t="n"/>
      <c r="S45" s="57" t="n"/>
      <c r="T45" s="58">
        <f>Q45*R45</f>
        <v/>
      </c>
      <c r="U45" s="61">
        <f>SUM(T48:T56)</f>
        <v/>
      </c>
      <c r="V45" s="3" t="n"/>
      <c r="W45" s="3" t="n"/>
      <c r="X45" s="3" t="n"/>
      <c r="Y45" s="6" t="n"/>
      <c r="Z45" s="6" t="n"/>
    </row>
    <row r="46" ht="15" customHeight="1">
      <c r="A46" s="7" t="n"/>
      <c r="B46" s="8" t="n">
        <v>40</v>
      </c>
      <c r="C46" s="54" t="n"/>
      <c r="D46" s="41" t="n"/>
      <c r="E46" s="41" t="n"/>
      <c r="F46" s="42" t="n"/>
      <c r="G46" s="58" t="n"/>
      <c r="H46" s="56" t="n"/>
      <c r="I46" s="57" t="n"/>
      <c r="J46" s="58">
        <f>G46*H46</f>
        <v/>
      </c>
      <c r="K46" s="7" t="n"/>
      <c r="L46" s="8" t="n">
        <v>90</v>
      </c>
      <c r="M46" s="54" t="n"/>
      <c r="N46" s="41" t="n"/>
      <c r="O46" s="41" t="n"/>
      <c r="P46" s="42" t="n"/>
      <c r="Q46" s="58" t="n"/>
      <c r="R46" s="56" t="n"/>
      <c r="S46" s="57" t="n"/>
      <c r="T46" s="58">
        <f>Q46*R46</f>
        <v/>
      </c>
      <c r="U46" s="3" t="n"/>
      <c r="V46" s="3" t="n"/>
      <c r="W46" s="3" t="n"/>
      <c r="X46" s="3" t="n"/>
      <c r="Y46" s="6" t="n"/>
      <c r="Z46" s="6" t="n"/>
    </row>
    <row r="47" ht="15" customHeight="1">
      <c r="A47" s="7" t="n"/>
      <c r="B47" s="8" t="n">
        <v>41</v>
      </c>
      <c r="C47" s="54" t="n"/>
      <c r="D47" s="41" t="n"/>
      <c r="E47" s="41" t="n"/>
      <c r="F47" s="42" t="n"/>
      <c r="G47" s="59" t="n"/>
      <c r="H47" s="56" t="n"/>
      <c r="I47" s="57" t="n"/>
      <c r="J47" s="58">
        <f>G47*H47</f>
        <v/>
      </c>
      <c r="K47" s="7" t="n"/>
      <c r="L47" s="8" t="n">
        <v>91</v>
      </c>
      <c r="M47" s="54" t="n"/>
      <c r="N47" s="41" t="n"/>
      <c r="O47" s="41" t="n"/>
      <c r="P47" s="42" t="n"/>
      <c r="Q47" s="58" t="n"/>
      <c r="R47" s="56" t="n"/>
      <c r="S47" s="57" t="n"/>
      <c r="T47" s="58">
        <f>Q47*R47</f>
        <v/>
      </c>
      <c r="U47" s="3" t="n"/>
      <c r="V47" s="3" t="n"/>
      <c r="W47" s="3" t="n"/>
      <c r="X47" s="3" t="n"/>
      <c r="Y47" s="6" t="n"/>
      <c r="Z47" s="6" t="n"/>
    </row>
    <row r="48" ht="15" customHeight="1">
      <c r="A48" s="7" t="n"/>
      <c r="B48" s="8" t="n">
        <v>42</v>
      </c>
      <c r="C48" s="54" t="n"/>
      <c r="D48" s="41" t="n"/>
      <c r="E48" s="41" t="n"/>
      <c r="F48" s="42" t="n"/>
      <c r="G48" s="59" t="n"/>
      <c r="H48" s="56" t="n"/>
      <c r="I48" s="57" t="n"/>
      <c r="J48" s="58">
        <f>G48*H48</f>
        <v/>
      </c>
      <c r="K48" s="7" t="n"/>
      <c r="L48" s="8" t="n">
        <v>92</v>
      </c>
      <c r="M48" s="54" t="n"/>
      <c r="N48" s="41" t="n"/>
      <c r="O48" s="41" t="n"/>
      <c r="P48" s="42" t="n"/>
      <c r="Q48" s="58" t="n"/>
      <c r="R48" s="56" t="n"/>
      <c r="S48" s="57" t="n"/>
      <c r="T48" s="58">
        <f>Q48*R48</f>
        <v/>
      </c>
      <c r="U48" s="3" t="n"/>
      <c r="V48" s="3" t="n"/>
      <c r="W48" s="3" t="n"/>
      <c r="X48" s="3" t="n"/>
      <c r="Y48" s="6" t="n"/>
      <c r="Z48" s="6" t="n"/>
    </row>
    <row r="49" ht="15" customHeight="1">
      <c r="A49" s="7" t="n"/>
      <c r="B49" s="8" t="n">
        <v>43</v>
      </c>
      <c r="C49" s="54" t="n"/>
      <c r="D49" s="41" t="n"/>
      <c r="E49" s="41" t="n"/>
      <c r="F49" s="42" t="n"/>
      <c r="G49" s="59" t="n"/>
      <c r="H49" s="56" t="n"/>
      <c r="I49" s="57" t="n"/>
      <c r="J49" s="58">
        <f>G49*H49</f>
        <v/>
      </c>
      <c r="K49" s="7" t="n"/>
      <c r="L49" s="8" t="n">
        <v>93</v>
      </c>
      <c r="M49" s="54" t="n"/>
      <c r="N49" s="41" t="n"/>
      <c r="O49" s="41" t="n"/>
      <c r="P49" s="42" t="n"/>
      <c r="Q49" s="58" t="n"/>
      <c r="R49" s="56" t="n"/>
      <c r="S49" s="57" t="n"/>
      <c r="T49" s="58">
        <f>Q49*R49</f>
        <v/>
      </c>
      <c r="U49" s="12" t="n"/>
      <c r="V49" s="12" t="n"/>
      <c r="W49" s="12" t="n"/>
      <c r="X49" s="12" t="n"/>
      <c r="Y49" s="6" t="n"/>
      <c r="Z49" s="6" t="n"/>
    </row>
    <row r="50" ht="15" customHeight="1">
      <c r="A50" s="7" t="n"/>
      <c r="B50" s="8" t="n">
        <v>44</v>
      </c>
      <c r="C50" s="54" t="n"/>
      <c r="D50" s="41" t="n"/>
      <c r="E50" s="41" t="n"/>
      <c r="F50" s="42" t="n"/>
      <c r="G50" s="58" t="n"/>
      <c r="H50" s="56" t="n"/>
      <c r="I50" s="57" t="n"/>
      <c r="J50" s="58">
        <f>G50*H50</f>
        <v/>
      </c>
      <c r="K50" s="7" t="n"/>
      <c r="L50" s="8" t="n">
        <v>94</v>
      </c>
      <c r="M50" s="54" t="n"/>
      <c r="N50" s="41" t="n"/>
      <c r="O50" s="41" t="n"/>
      <c r="P50" s="42" t="n"/>
      <c r="Q50" s="58" t="n"/>
      <c r="R50" s="56" t="n"/>
      <c r="S50" s="57" t="n"/>
      <c r="T50" s="58">
        <f>Q50*R50</f>
        <v/>
      </c>
      <c r="U50" s="12" t="n"/>
      <c r="V50" s="12" t="n"/>
      <c r="W50" s="12" t="n"/>
      <c r="X50" s="12" t="n"/>
      <c r="Y50" s="6" t="n"/>
      <c r="Z50" s="6" t="n"/>
    </row>
    <row r="51" ht="15" customHeight="1">
      <c r="A51" s="7" t="n"/>
      <c r="B51" s="8" t="n">
        <v>45</v>
      </c>
      <c r="C51" s="54" t="n"/>
      <c r="D51" s="41" t="n"/>
      <c r="E51" s="41" t="n"/>
      <c r="F51" s="42" t="n"/>
      <c r="G51" s="58" t="n"/>
      <c r="H51" s="56" t="n"/>
      <c r="I51" s="57" t="n"/>
      <c r="J51" s="58">
        <f>G51*H51</f>
        <v/>
      </c>
      <c r="K51" s="7" t="n"/>
      <c r="L51" s="8" t="n">
        <v>95</v>
      </c>
      <c r="M51" s="54" t="n"/>
      <c r="N51" s="41" t="n"/>
      <c r="O51" s="41" t="n"/>
      <c r="P51" s="42" t="n"/>
      <c r="Q51" s="58" t="n"/>
      <c r="R51" s="56" t="n"/>
      <c r="S51" s="57" t="n"/>
      <c r="T51" s="58">
        <f>Q51*R51</f>
        <v/>
      </c>
      <c r="U51" s="12" t="n"/>
      <c r="V51" s="12" t="n"/>
      <c r="W51" s="12" t="n"/>
      <c r="X51" s="12" t="n"/>
      <c r="Y51" s="6" t="n"/>
      <c r="Z51" s="6" t="n"/>
    </row>
    <row r="52" ht="15" customHeight="1">
      <c r="A52" s="7" t="n"/>
      <c r="B52" s="8" t="n">
        <v>46</v>
      </c>
      <c r="C52" s="54" t="n"/>
      <c r="D52" s="41" t="n"/>
      <c r="E52" s="41" t="n"/>
      <c r="F52" s="42" t="n"/>
      <c r="G52" s="58" t="n"/>
      <c r="H52" s="56" t="n"/>
      <c r="I52" s="57" t="n"/>
      <c r="J52" s="58">
        <f>G52*H52</f>
        <v/>
      </c>
      <c r="K52" s="7" t="n"/>
      <c r="L52" s="8" t="n">
        <v>96</v>
      </c>
      <c r="M52" s="54" t="n"/>
      <c r="N52" s="41" t="n"/>
      <c r="O52" s="41" t="n"/>
      <c r="P52" s="42" t="n"/>
      <c r="Q52" s="58" t="n"/>
      <c r="R52" s="56" t="n"/>
      <c r="S52" s="57" t="n"/>
      <c r="T52" s="58">
        <f>Q52*R52</f>
        <v/>
      </c>
      <c r="U52" s="12" t="n"/>
      <c r="V52" s="12" t="n"/>
      <c r="W52" s="12" t="n"/>
      <c r="X52" s="12" t="n"/>
      <c r="Y52" s="6" t="n"/>
      <c r="Z52" s="6" t="n"/>
    </row>
    <row r="53" ht="15" customHeight="1">
      <c r="A53" s="3" t="n"/>
      <c r="B53" s="8" t="n">
        <v>47</v>
      </c>
      <c r="C53" s="54" t="n"/>
      <c r="D53" s="41" t="n"/>
      <c r="E53" s="41" t="n"/>
      <c r="F53" s="42" t="n"/>
      <c r="G53" s="58" t="n"/>
      <c r="H53" s="56" t="n"/>
      <c r="I53" s="57" t="n"/>
      <c r="J53" s="58">
        <f>G53*H53</f>
        <v/>
      </c>
      <c r="K53" s="3" t="n"/>
      <c r="L53" s="8" t="n">
        <v>97</v>
      </c>
      <c r="M53" s="54" t="n"/>
      <c r="N53" s="41" t="n"/>
      <c r="O53" s="41" t="n"/>
      <c r="P53" s="42" t="n"/>
      <c r="Q53" s="58" t="n"/>
      <c r="R53" s="56" t="n"/>
      <c r="S53" s="60" t="n"/>
      <c r="T53" s="58">
        <f>Q53*R53</f>
        <v/>
      </c>
      <c r="U53" s="12" t="n"/>
      <c r="V53" s="12" t="n"/>
      <c r="W53" s="12" t="n"/>
      <c r="X53" s="12" t="n"/>
      <c r="Y53" s="6" t="n"/>
      <c r="Z53" s="6" t="n"/>
    </row>
    <row r="54" ht="15" customHeight="1">
      <c r="A54" s="3" t="n"/>
      <c r="B54" s="8" t="n">
        <v>48</v>
      </c>
      <c r="C54" s="54" t="n"/>
      <c r="D54" s="41" t="n"/>
      <c r="E54" s="41" t="n"/>
      <c r="F54" s="42" t="n"/>
      <c r="G54" s="58" t="n"/>
      <c r="H54" s="56" t="n"/>
      <c r="I54" s="57" t="n"/>
      <c r="J54" s="58">
        <f>G54*H54</f>
        <v/>
      </c>
      <c r="K54" s="3" t="n"/>
      <c r="L54" s="8" t="n">
        <v>98</v>
      </c>
      <c r="M54" s="54" t="n"/>
      <c r="N54" s="41" t="n"/>
      <c r="O54" s="41" t="n"/>
      <c r="P54" s="42" t="n"/>
      <c r="Q54" s="58" t="n"/>
      <c r="R54" s="56" t="n"/>
      <c r="S54" s="57" t="n"/>
      <c r="T54" s="58">
        <f>Q54*R54</f>
        <v/>
      </c>
      <c r="U54" s="12" t="n"/>
      <c r="V54" s="12" t="n"/>
      <c r="W54" s="12" t="n"/>
      <c r="X54" s="12" t="n"/>
      <c r="Y54" s="6" t="n"/>
      <c r="Z54" s="6" t="n"/>
    </row>
    <row r="55" ht="15" customHeight="1">
      <c r="A55" s="3" t="n"/>
      <c r="B55" s="8" t="n">
        <v>49</v>
      </c>
      <c r="C55" s="54" t="n"/>
      <c r="D55" s="41" t="n"/>
      <c r="E55" s="41" t="n"/>
      <c r="F55" s="42" t="n"/>
      <c r="G55" s="58" t="n"/>
      <c r="H55" s="56" t="n"/>
      <c r="I55" s="57" t="n"/>
      <c r="J55" s="58">
        <f>G55*H55</f>
        <v/>
      </c>
      <c r="K55" s="3" t="n"/>
      <c r="L55" s="8" t="n">
        <v>99</v>
      </c>
      <c r="M55" s="54" t="n"/>
      <c r="N55" s="41" t="n"/>
      <c r="O55" s="41" t="n"/>
      <c r="P55" s="42" t="n"/>
      <c r="Q55" s="58" t="n"/>
      <c r="R55" s="56" t="n"/>
      <c r="S55" s="57" t="n"/>
      <c r="T55" s="58">
        <f>Q55*R55</f>
        <v/>
      </c>
      <c r="U55" s="12" t="n"/>
      <c r="V55" s="12" t="n"/>
      <c r="W55" s="12" t="n"/>
      <c r="X55" s="12" t="n"/>
      <c r="Y55" s="6" t="n"/>
      <c r="Z55" s="6" t="n"/>
    </row>
    <row r="56" ht="15" customHeight="1">
      <c r="A56" s="3" t="n"/>
      <c r="B56" s="8" t="n">
        <v>50</v>
      </c>
      <c r="C56" s="54" t="n"/>
      <c r="D56" s="41" t="n"/>
      <c r="E56" s="41" t="n"/>
      <c r="F56" s="42" t="n"/>
      <c r="G56" s="58" t="n"/>
      <c r="H56" s="56" t="n"/>
      <c r="I56" s="57" t="n"/>
      <c r="J56" s="58">
        <f>G56*H56</f>
        <v/>
      </c>
      <c r="K56" s="3" t="n"/>
      <c r="L56" s="8" t="n">
        <v>100</v>
      </c>
      <c r="M56" s="54" t="n"/>
      <c r="N56" s="41" t="n"/>
      <c r="O56" s="41" t="n"/>
      <c r="P56" s="42" t="n"/>
      <c r="Q56" s="58" t="n"/>
      <c r="R56" s="56" t="n"/>
      <c r="S56" s="57" t="n"/>
      <c r="T56" s="58">
        <f>Q56*R56</f>
        <v/>
      </c>
      <c r="U56" s="12" t="n"/>
      <c r="V56" s="12" t="n"/>
      <c r="W56" s="12" t="n"/>
      <c r="X56" s="12" t="n"/>
      <c r="Y56" s="6" t="n"/>
      <c r="Z56" s="6" t="n"/>
    </row>
    <row r="57" ht="15" customHeight="1">
      <c r="A57" s="3" t="n"/>
      <c r="B57" s="13" t="inlineStr">
        <is>
          <t>小計</t>
        </is>
      </c>
      <c r="C57" s="62" t="n"/>
      <c r="D57" s="51" t="n"/>
      <c r="E57" s="51" t="n"/>
      <c r="F57" s="52" t="n"/>
      <c r="G57" s="63" t="n"/>
      <c r="H57" s="63" t="n"/>
      <c r="I57" s="63" t="n"/>
      <c r="J57" s="63">
        <f>SUM(J7:J56)</f>
        <v/>
      </c>
      <c r="K57" s="3" t="n"/>
      <c r="L57" s="13" t="inlineStr">
        <is>
          <t>小計</t>
        </is>
      </c>
      <c r="M57" s="62" t="n"/>
      <c r="N57" s="51" t="n"/>
      <c r="O57" s="51" t="n"/>
      <c r="P57" s="52" t="n"/>
      <c r="Q57" s="63" t="n"/>
      <c r="R57" s="63" t="n"/>
      <c r="S57" s="63" t="n"/>
      <c r="T57" s="63">
        <f>SUM(T7:T56)</f>
        <v/>
      </c>
      <c r="U57" s="12" t="n"/>
      <c r="V57" s="12" t="n"/>
      <c r="W57" s="12" t="n"/>
      <c r="X57" s="12" t="n"/>
      <c r="Y57" s="6" t="n"/>
      <c r="Z57" s="6" t="n"/>
    </row>
    <row r="58" ht="19.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1" t="n"/>
      <c r="Z58" s="1" t="n"/>
    </row>
    <row r="59" ht="19.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1" t="n"/>
      <c r="Z59" s="1" t="n"/>
    </row>
    <row r="60" ht="19.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1" t="n"/>
      <c r="Z60" s="1" t="n"/>
    </row>
    <row r="61" ht="19.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1" t="n"/>
      <c r="Z61" s="1" t="n"/>
    </row>
    <row r="62" ht="19.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1" t="n"/>
      <c r="Z62" s="1" t="n"/>
    </row>
    <row r="63" ht="19.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1" t="n"/>
      <c r="Z63" s="1" t="n"/>
    </row>
    <row r="64" ht="19.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1" t="n"/>
      <c r="Z64" s="1" t="n"/>
    </row>
    <row r="65" ht="19.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1" t="n"/>
      <c r="Z65" s="1" t="n"/>
    </row>
    <row r="66" ht="19.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1" t="n"/>
      <c r="Z66" s="1" t="n"/>
    </row>
    <row r="67" ht="19.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1" t="n"/>
      <c r="Z67" s="1" t="n"/>
    </row>
    <row r="68" ht="19.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1" t="n"/>
      <c r="Z68" s="1" t="n"/>
    </row>
    <row r="69" ht="19.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1" t="n"/>
      <c r="Z69" s="1" t="n"/>
    </row>
    <row r="70" ht="19.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1" t="n"/>
      <c r="Z70" s="1" t="n"/>
    </row>
    <row r="71" ht="19.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1" t="n"/>
      <c r="Z71" s="1" t="n"/>
    </row>
    <row r="72" ht="19.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1" t="n"/>
      <c r="Z72" s="1" t="n"/>
    </row>
    <row r="73" ht="19.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1" t="n"/>
      <c r="Z73" s="1" t="n"/>
    </row>
    <row r="74" ht="19.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1" t="n"/>
      <c r="Z74" s="1" t="n"/>
    </row>
    <row r="75" ht="19.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1" t="n"/>
      <c r="Z75" s="1" t="n"/>
    </row>
    <row r="76" ht="19.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1" t="n"/>
      <c r="Z76" s="1" t="n"/>
    </row>
    <row r="77" ht="19.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1" t="n"/>
      <c r="Z77" s="1" t="n"/>
    </row>
    <row r="78" ht="19.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1" t="n"/>
      <c r="Z78" s="1" t="n"/>
    </row>
    <row r="79" ht="19.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1" t="n"/>
      <c r="Z79" s="1" t="n"/>
    </row>
    <row r="80" ht="19.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1" t="n"/>
      <c r="Z80" s="1" t="n"/>
    </row>
    <row r="81" ht="19.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1" t="n"/>
      <c r="Z81" s="1" t="n"/>
    </row>
    <row r="82" ht="19.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1" t="n"/>
      <c r="Z82" s="1" t="n"/>
    </row>
    <row r="83" ht="19.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1" t="n"/>
      <c r="Z83" s="1" t="n"/>
    </row>
    <row r="84" ht="19.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1" t="n"/>
      <c r="Z84" s="1" t="n"/>
    </row>
    <row r="85" ht="19.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1" t="n"/>
      <c r="Z85" s="1" t="n"/>
    </row>
    <row r="86" ht="19.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1" t="n"/>
      <c r="Z86" s="1" t="n"/>
    </row>
    <row r="87" ht="19.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1" t="n"/>
      <c r="Z87" s="1" t="n"/>
    </row>
    <row r="88" ht="19.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1" t="n"/>
      <c r="Z88" s="1" t="n"/>
    </row>
    <row r="89" ht="19.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1" t="n"/>
      <c r="Z89" s="1" t="n"/>
    </row>
    <row r="90" ht="19.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1" t="n"/>
      <c r="Z90" s="1" t="n"/>
    </row>
    <row r="91" ht="19.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1" t="n"/>
      <c r="Z91" s="1" t="n"/>
    </row>
    <row r="92" ht="19.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1" t="n"/>
      <c r="Z92" s="1" t="n"/>
    </row>
    <row r="93" ht="19.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1" t="n"/>
      <c r="Z93" s="1" t="n"/>
    </row>
    <row r="94" ht="19.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1" t="n"/>
      <c r="Z94" s="1" t="n"/>
    </row>
    <row r="95" ht="19.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1" t="n"/>
      <c r="Z95" s="1" t="n"/>
    </row>
    <row r="96" ht="19.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1" t="n"/>
      <c r="Z96" s="1" t="n"/>
    </row>
    <row r="97" ht="19.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1" t="n"/>
      <c r="Z97" s="1" t="n"/>
    </row>
    <row r="98" ht="19.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1" t="n"/>
      <c r="Z98" s="1" t="n"/>
    </row>
    <row r="99" ht="19.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1" t="n"/>
      <c r="Z99" s="1" t="n"/>
    </row>
    <row r="100" ht="19.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1" t="n"/>
      <c r="Z100" s="1" t="n"/>
    </row>
    <row r="101" ht="19.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1" t="n"/>
      <c r="Z101" s="1" t="n"/>
    </row>
    <row r="102" ht="19.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1" t="n"/>
      <c r="Z102" s="1" t="n"/>
    </row>
    <row r="103" ht="19.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1" t="n"/>
      <c r="Z103" s="1" t="n"/>
    </row>
    <row r="104" ht="19.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1" t="n"/>
      <c r="Z104" s="1" t="n"/>
    </row>
    <row r="105" ht="19.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1" t="n"/>
      <c r="Z105" s="1" t="n"/>
    </row>
    <row r="106" ht="19.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1" t="n"/>
      <c r="Z106" s="1" t="n"/>
    </row>
    <row r="107" ht="19.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1" t="n"/>
      <c r="Z107" s="1" t="n"/>
    </row>
    <row r="108" ht="19.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1" t="n"/>
      <c r="Z108" s="1" t="n"/>
    </row>
    <row r="109" ht="19.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1" t="n"/>
      <c r="Z109" s="1" t="n"/>
    </row>
    <row r="110" ht="19.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1" t="n"/>
      <c r="Z110" s="1" t="n"/>
    </row>
    <row r="111" ht="19.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1" t="n"/>
      <c r="Z111" s="1" t="n"/>
    </row>
    <row r="112" ht="19.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1" t="n"/>
      <c r="Z112" s="1" t="n"/>
    </row>
    <row r="113" ht="19.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1" t="n"/>
      <c r="Z113" s="1" t="n"/>
    </row>
    <row r="114" ht="19.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1" t="n"/>
      <c r="Z114" s="1" t="n"/>
    </row>
    <row r="115" ht="19.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1" t="n"/>
      <c r="Z115" s="1" t="n"/>
    </row>
    <row r="116" ht="19.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1" t="n"/>
      <c r="Z116" s="1" t="n"/>
    </row>
    <row r="117" ht="19.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1" t="n"/>
      <c r="Z117" s="1" t="n"/>
    </row>
    <row r="118" ht="19.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1" t="n"/>
      <c r="Z118" s="1" t="n"/>
    </row>
    <row r="119" ht="19.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1" t="n"/>
      <c r="Z119" s="1" t="n"/>
    </row>
    <row r="120" ht="19.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1" t="n"/>
      <c r="Z120" s="1" t="n"/>
    </row>
    <row r="121" ht="19.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1" t="n"/>
      <c r="Z121" s="1" t="n"/>
    </row>
    <row r="122" ht="19.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1" t="n"/>
      <c r="Z122" s="1" t="n"/>
    </row>
    <row r="123" ht="19.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1" t="n"/>
      <c r="Z123" s="1" t="n"/>
    </row>
    <row r="124" ht="19.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1" t="n"/>
      <c r="Z124" s="1" t="n"/>
    </row>
    <row r="125" ht="19.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1" t="n"/>
      <c r="Z125" s="1" t="n"/>
    </row>
    <row r="126" ht="19.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1" t="n"/>
      <c r="Z126" s="1" t="n"/>
    </row>
    <row r="127" ht="19.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1" t="n"/>
      <c r="Z127" s="1" t="n"/>
    </row>
    <row r="128" ht="19.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1" t="n"/>
      <c r="Z128" s="1" t="n"/>
    </row>
    <row r="129" ht="19.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1" t="n"/>
      <c r="Z129" s="1" t="n"/>
    </row>
    <row r="130" ht="19.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1" t="n"/>
      <c r="Z130" s="1" t="n"/>
    </row>
    <row r="131" ht="19.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1" t="n"/>
      <c r="Z131" s="1" t="n"/>
    </row>
    <row r="132" ht="19.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1" t="n"/>
      <c r="Z132" s="1" t="n"/>
    </row>
    <row r="133" ht="19.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1" t="n"/>
      <c r="Z133" s="1" t="n"/>
    </row>
    <row r="134" ht="19.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1" t="n"/>
      <c r="Z134" s="1" t="n"/>
    </row>
    <row r="135" ht="19.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1" t="n"/>
      <c r="Z135" s="1" t="n"/>
    </row>
    <row r="136" ht="19.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1" t="n"/>
      <c r="Z136" s="1" t="n"/>
    </row>
    <row r="137" ht="19.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1" t="n"/>
      <c r="Z137" s="1" t="n"/>
    </row>
    <row r="138" ht="19.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1" t="n"/>
      <c r="Z138" s="1" t="n"/>
    </row>
    <row r="139" ht="19.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1" t="n"/>
      <c r="Z139" s="1" t="n"/>
    </row>
    <row r="140" ht="19.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1" t="n"/>
      <c r="Z140" s="1" t="n"/>
    </row>
    <row r="141" ht="19.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1" t="n"/>
      <c r="Z141" s="1" t="n"/>
    </row>
    <row r="142" ht="19.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1" t="n"/>
      <c r="Z142" s="1" t="n"/>
    </row>
    <row r="143" ht="19.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1" t="n"/>
      <c r="Z143" s="1" t="n"/>
    </row>
    <row r="144" ht="19.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1" t="n"/>
      <c r="Z144" s="1" t="n"/>
    </row>
    <row r="145" ht="19.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1" t="n"/>
      <c r="Z145" s="1" t="n"/>
    </row>
    <row r="146" ht="19.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1" t="n"/>
      <c r="Z146" s="1" t="n"/>
    </row>
    <row r="147" ht="19.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1" t="n"/>
      <c r="Z147" s="1" t="n"/>
    </row>
    <row r="148" ht="19.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1" t="n"/>
      <c r="Z148" s="1" t="n"/>
    </row>
    <row r="149" ht="19.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1" t="n"/>
      <c r="Z149" s="1" t="n"/>
    </row>
    <row r="150" ht="19.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1" t="n"/>
      <c r="Z150" s="1" t="n"/>
    </row>
    <row r="151" ht="19.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1" t="n"/>
      <c r="Z151" s="1" t="n"/>
    </row>
    <row r="152" ht="19.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1" t="n"/>
      <c r="Z152" s="1" t="n"/>
    </row>
    <row r="153" ht="19.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1" t="n"/>
      <c r="Z153" s="1" t="n"/>
    </row>
    <row r="154" ht="19.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1" t="n"/>
      <c r="Z154" s="1" t="n"/>
    </row>
    <row r="155" ht="19.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1" t="n"/>
      <c r="Z155" s="1" t="n"/>
    </row>
    <row r="156" ht="19.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1" t="n"/>
      <c r="Z156" s="1" t="n"/>
    </row>
    <row r="157" ht="19.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1" t="n"/>
      <c r="Z157" s="1" t="n"/>
    </row>
    <row r="158" ht="19.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1" t="n"/>
      <c r="Z158" s="1" t="n"/>
    </row>
    <row r="159" ht="19.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1" t="n"/>
      <c r="Z159" s="1" t="n"/>
    </row>
    <row r="160" ht="19.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1" t="n"/>
      <c r="Z160" s="1" t="n"/>
    </row>
    <row r="161" ht="19.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1" t="n"/>
      <c r="Z161" s="1" t="n"/>
    </row>
    <row r="162" ht="19.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1" t="n"/>
      <c r="Z162" s="1" t="n"/>
    </row>
    <row r="163" ht="19.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1" t="n"/>
      <c r="Z163" s="1" t="n"/>
    </row>
    <row r="164" ht="19.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1" t="n"/>
      <c r="Z164" s="1" t="n"/>
    </row>
    <row r="165" ht="19.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1" t="n"/>
      <c r="Z165" s="1" t="n"/>
    </row>
    <row r="166" ht="19.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1" t="n"/>
      <c r="Z166" s="1" t="n"/>
    </row>
    <row r="167" ht="19.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1" t="n"/>
      <c r="Z167" s="1" t="n"/>
    </row>
    <row r="168" ht="19.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1" t="n"/>
      <c r="Z168" s="1" t="n"/>
    </row>
    <row r="169" ht="19.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1" t="n"/>
      <c r="Z169" s="1" t="n"/>
    </row>
    <row r="170" ht="19.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1" t="n"/>
      <c r="Z170" s="1" t="n"/>
    </row>
    <row r="171" ht="19.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1" t="n"/>
      <c r="Z171" s="1" t="n"/>
    </row>
    <row r="172" ht="19.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1" t="n"/>
      <c r="Z172" s="1" t="n"/>
    </row>
    <row r="173" ht="19.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1" t="n"/>
      <c r="Z173" s="1" t="n"/>
    </row>
    <row r="174" ht="19.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1" t="n"/>
      <c r="Z174" s="1" t="n"/>
    </row>
    <row r="175" ht="19.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1" t="n"/>
      <c r="Z175" s="1" t="n"/>
    </row>
    <row r="176" ht="19.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1" t="n"/>
      <c r="Z176" s="1" t="n"/>
    </row>
    <row r="177" ht="19.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1" t="n"/>
      <c r="Z177" s="1" t="n"/>
    </row>
    <row r="178" ht="19.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1" t="n"/>
      <c r="Z178" s="1" t="n"/>
    </row>
    <row r="179" ht="19.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1" t="n"/>
      <c r="Z179" s="1" t="n"/>
    </row>
    <row r="180" ht="19.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1" t="n"/>
      <c r="Z180" s="1" t="n"/>
    </row>
    <row r="181" ht="19.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1" t="n"/>
      <c r="Z181" s="1" t="n"/>
    </row>
    <row r="182" ht="19.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1" t="n"/>
      <c r="Z182" s="1" t="n"/>
    </row>
    <row r="183" ht="19.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1" t="n"/>
      <c r="Z183" s="1" t="n"/>
    </row>
    <row r="184" ht="19.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1" t="n"/>
      <c r="Z184" s="1" t="n"/>
    </row>
    <row r="185" ht="19.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1" t="n"/>
      <c r="Z185" s="1" t="n"/>
    </row>
    <row r="186" ht="19.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1" t="n"/>
      <c r="Z186" s="1" t="n"/>
    </row>
    <row r="187" ht="19.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1" t="n"/>
      <c r="Z187" s="1" t="n"/>
    </row>
    <row r="188" ht="19.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1" t="n"/>
      <c r="Z188" s="1" t="n"/>
    </row>
    <row r="189" ht="19.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1" t="n"/>
      <c r="Z189" s="1" t="n"/>
    </row>
    <row r="190" ht="19.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1" t="n"/>
      <c r="Z190" s="1" t="n"/>
    </row>
    <row r="191" ht="19.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1" t="n"/>
      <c r="Z191" s="1" t="n"/>
    </row>
    <row r="192" ht="19.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1" t="n"/>
      <c r="Z192" s="1" t="n"/>
    </row>
    <row r="193" ht="19.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1" t="n"/>
      <c r="Z193" s="1" t="n"/>
    </row>
    <row r="194" ht="19.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1" t="n"/>
      <c r="Z194" s="1" t="n"/>
    </row>
    <row r="195" ht="19.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1" t="n"/>
      <c r="Z195" s="1" t="n"/>
    </row>
    <row r="196" ht="19.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1" t="n"/>
      <c r="Z196" s="1" t="n"/>
    </row>
    <row r="197" ht="19.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1" t="n"/>
      <c r="Z197" s="1" t="n"/>
    </row>
    <row r="198" ht="19.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1" t="n"/>
      <c r="Z198" s="1" t="n"/>
    </row>
    <row r="199" ht="19.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1" t="n"/>
      <c r="Z199" s="1" t="n"/>
    </row>
    <row r="200" ht="19.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1" t="n"/>
      <c r="Z200" s="1" t="n"/>
    </row>
    <row r="201" ht="19.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1" t="n"/>
      <c r="Z201" s="1" t="n"/>
    </row>
    <row r="202" ht="19.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1" t="n"/>
      <c r="Z202" s="1" t="n"/>
    </row>
    <row r="203" ht="19.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1" t="n"/>
      <c r="Z203" s="1" t="n"/>
    </row>
    <row r="204" ht="19.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1" t="n"/>
      <c r="Z204" s="1" t="n"/>
    </row>
    <row r="205" ht="19.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1" t="n"/>
      <c r="Z205" s="1" t="n"/>
    </row>
    <row r="206" ht="19.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1" t="n"/>
      <c r="Z206" s="1" t="n"/>
    </row>
    <row r="207" ht="19.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1" t="n"/>
      <c r="Z207" s="1" t="n"/>
    </row>
    <row r="208" ht="19.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1" t="n"/>
      <c r="Z208" s="1" t="n"/>
    </row>
    <row r="209" ht="19.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1" t="n"/>
      <c r="Z209" s="1" t="n"/>
    </row>
    <row r="210" ht="19.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1" t="n"/>
      <c r="Z210" s="1" t="n"/>
    </row>
    <row r="211" ht="19.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1" t="n"/>
      <c r="Z211" s="1" t="n"/>
    </row>
    <row r="212" ht="19.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1" t="n"/>
      <c r="Z212" s="1" t="n"/>
    </row>
    <row r="213" ht="19.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1" t="n"/>
      <c r="Z213" s="1" t="n"/>
    </row>
    <row r="214" ht="19.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1" t="n"/>
      <c r="Z214" s="1" t="n"/>
    </row>
    <row r="215" ht="19.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1" t="n"/>
      <c r="Z215" s="1" t="n"/>
    </row>
    <row r="216" ht="19.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1" t="n"/>
      <c r="Z216" s="1" t="n"/>
    </row>
    <row r="217" ht="19.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1" t="n"/>
      <c r="Z217" s="1" t="n"/>
    </row>
    <row r="218" ht="19.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1" t="n"/>
      <c r="Z218" s="1" t="n"/>
    </row>
    <row r="219" ht="19.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1" t="n"/>
      <c r="Z219" s="1" t="n"/>
    </row>
    <row r="220" ht="19.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1" t="n"/>
      <c r="Z220" s="1" t="n"/>
    </row>
    <row r="221" ht="19.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1" t="n"/>
      <c r="Z221" s="1" t="n"/>
    </row>
    <row r="222" ht="19.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1" t="n"/>
      <c r="Z222" s="1" t="n"/>
    </row>
    <row r="223" ht="19.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1" t="n"/>
      <c r="Z223" s="1" t="n"/>
    </row>
    <row r="224" ht="19.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1" t="n"/>
      <c r="Z224" s="1" t="n"/>
    </row>
    <row r="225" ht="19.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1" t="n"/>
      <c r="Z225" s="1" t="n"/>
    </row>
    <row r="226" ht="19.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1" t="n"/>
      <c r="Z226" s="1" t="n"/>
    </row>
    <row r="227" ht="19.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1" t="n"/>
      <c r="Z227" s="1" t="n"/>
    </row>
    <row r="228" ht="19.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1" t="n"/>
      <c r="Z228" s="1" t="n"/>
    </row>
    <row r="229" ht="19.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1" t="n"/>
      <c r="Z229" s="1" t="n"/>
    </row>
    <row r="230" ht="19.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1" t="n"/>
      <c r="Z230" s="1" t="n"/>
    </row>
    <row r="231" ht="19.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1" t="n"/>
      <c r="Z231" s="1" t="n"/>
    </row>
    <row r="232" ht="19.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1" t="n"/>
      <c r="Z232" s="1" t="n"/>
    </row>
    <row r="233" ht="19.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1" t="n"/>
      <c r="Z233" s="1" t="n"/>
    </row>
    <row r="234" ht="19.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1" t="n"/>
      <c r="Z234" s="1" t="n"/>
    </row>
    <row r="235" ht="19.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1" t="n"/>
      <c r="Z235" s="1" t="n"/>
    </row>
    <row r="236" ht="19.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1" t="n"/>
      <c r="Z236" s="1" t="n"/>
    </row>
    <row r="237" ht="19.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1" t="n"/>
      <c r="Z237" s="1" t="n"/>
    </row>
    <row r="238" ht="19.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1" t="n"/>
      <c r="Z238" s="1" t="n"/>
    </row>
    <row r="239" ht="19.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1" t="n"/>
      <c r="Z239" s="1" t="n"/>
    </row>
    <row r="240" ht="19.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1" t="n"/>
      <c r="Z240" s="1" t="n"/>
    </row>
    <row r="241" ht="19.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1" t="n"/>
      <c r="Z241" s="1" t="n"/>
    </row>
    <row r="242" ht="19.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1" t="n"/>
      <c r="Z242" s="1" t="n"/>
    </row>
    <row r="243" ht="19.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1" t="n"/>
      <c r="Z243" s="1" t="n"/>
    </row>
    <row r="244" ht="19.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1" t="n"/>
      <c r="Z244" s="1" t="n"/>
    </row>
    <row r="245" ht="19.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1" t="n"/>
      <c r="Z245" s="1" t="n"/>
    </row>
    <row r="246" ht="19.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1" t="n"/>
      <c r="Z246" s="1" t="n"/>
    </row>
    <row r="247" ht="19.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1" t="n"/>
      <c r="Z247" s="1" t="n"/>
    </row>
    <row r="248" ht="19.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1" t="n"/>
      <c r="Z248" s="1" t="n"/>
    </row>
    <row r="249" ht="19.5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1" t="n"/>
      <c r="Z249" s="1" t="n"/>
    </row>
    <row r="250" ht="19.5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1" t="n"/>
      <c r="Z250" s="1" t="n"/>
    </row>
    <row r="251" ht="19.5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1" t="n"/>
      <c r="Z251" s="1" t="n"/>
    </row>
    <row r="252" ht="19.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1" t="n"/>
      <c r="Z252" s="1" t="n"/>
    </row>
    <row r="253" ht="19.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1" t="n"/>
      <c r="Z253" s="1" t="n"/>
    </row>
    <row r="254" ht="19.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1" t="n"/>
      <c r="Z254" s="1" t="n"/>
    </row>
    <row r="255" ht="19.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1" t="n"/>
      <c r="Z255" s="1" t="n"/>
    </row>
    <row r="256" ht="19.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1" t="n"/>
      <c r="Z256" s="1" t="n"/>
    </row>
    <row r="257" ht="19.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1" t="n"/>
      <c r="Z257" s="1" t="n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3">
    <mergeCell ref="C52:F52"/>
    <mergeCell ref="C39:F39"/>
    <mergeCell ref="M57:P57"/>
    <mergeCell ref="M32:P32"/>
    <mergeCell ref="C32:F32"/>
    <mergeCell ref="M14:P14"/>
    <mergeCell ref="M29:P29"/>
    <mergeCell ref="C37:F37"/>
    <mergeCell ref="M23:P23"/>
    <mergeCell ref="C13:F13"/>
    <mergeCell ref="M46:P46"/>
    <mergeCell ref="M56:P56"/>
    <mergeCell ref="M43:P43"/>
    <mergeCell ref="C6:F6"/>
    <mergeCell ref="C15:F15"/>
    <mergeCell ref="C24:F24"/>
    <mergeCell ref="C26:F26"/>
    <mergeCell ref="M35:P35"/>
    <mergeCell ref="C54:F54"/>
    <mergeCell ref="M54:P54"/>
    <mergeCell ref="C41:F41"/>
    <mergeCell ref="C10:F10"/>
    <mergeCell ref="M10:P10"/>
    <mergeCell ref="C50:F50"/>
    <mergeCell ref="C56:F56"/>
    <mergeCell ref="M16:P16"/>
    <mergeCell ref="C43:F43"/>
    <mergeCell ref="M25:P25"/>
    <mergeCell ref="C27:F27"/>
    <mergeCell ref="C36:F36"/>
    <mergeCell ref="B2:J2"/>
    <mergeCell ref="M18:P18"/>
    <mergeCell ref="M45:P45"/>
    <mergeCell ref="M33:P33"/>
    <mergeCell ref="C17:F17"/>
    <mergeCell ref="M8:P8"/>
    <mergeCell ref="M17:P17"/>
    <mergeCell ref="M47:P47"/>
    <mergeCell ref="C19:F19"/>
    <mergeCell ref="C28:F28"/>
    <mergeCell ref="M19:P19"/>
    <mergeCell ref="C30:F30"/>
    <mergeCell ref="M44:P44"/>
    <mergeCell ref="C14:F14"/>
    <mergeCell ref="L3:N4"/>
    <mergeCell ref="M51:P51"/>
    <mergeCell ref="C40:F40"/>
    <mergeCell ref="M13:P13"/>
    <mergeCell ref="M7:P7"/>
    <mergeCell ref="M21:P21"/>
    <mergeCell ref="M27:P27"/>
    <mergeCell ref="I3:J4"/>
    <mergeCell ref="M36:P36"/>
    <mergeCell ref="C8:F8"/>
    <mergeCell ref="B3:H4"/>
    <mergeCell ref="C57:F57"/>
    <mergeCell ref="O3:Q4"/>
    <mergeCell ref="C18:F18"/>
    <mergeCell ref="C53:F53"/>
    <mergeCell ref="M53:P53"/>
    <mergeCell ref="M50:P50"/>
    <mergeCell ref="C34:F34"/>
    <mergeCell ref="M34:P34"/>
    <mergeCell ref="M55:P55"/>
    <mergeCell ref="M9:P9"/>
    <mergeCell ref="M49:P49"/>
    <mergeCell ref="M39:P39"/>
    <mergeCell ref="C45:F45"/>
    <mergeCell ref="M48:P48"/>
    <mergeCell ref="R2:T2"/>
    <mergeCell ref="C20:F20"/>
    <mergeCell ref="C29:F29"/>
    <mergeCell ref="M11:P11"/>
    <mergeCell ref="C47:F47"/>
    <mergeCell ref="L2:N2"/>
    <mergeCell ref="C44:F44"/>
    <mergeCell ref="C22:F22"/>
    <mergeCell ref="C31:F31"/>
    <mergeCell ref="M31:P31"/>
    <mergeCell ref="M40:P40"/>
    <mergeCell ref="C12:F12"/>
    <mergeCell ref="C46:F46"/>
    <mergeCell ref="C21:F21"/>
    <mergeCell ref="M12:P12"/>
    <mergeCell ref="C51:F51"/>
    <mergeCell ref="R3:T4"/>
    <mergeCell ref="C48:F48"/>
    <mergeCell ref="C23:F23"/>
    <mergeCell ref="M26:P26"/>
    <mergeCell ref="M41:P41"/>
    <mergeCell ref="C38:F38"/>
    <mergeCell ref="C7:F7"/>
    <mergeCell ref="M24:P24"/>
    <mergeCell ref="M38:P38"/>
    <mergeCell ref="C49:F49"/>
    <mergeCell ref="C33:F33"/>
    <mergeCell ref="C42:F42"/>
    <mergeCell ref="O2:Q2"/>
    <mergeCell ref="M52:P52"/>
    <mergeCell ref="C35:F35"/>
    <mergeCell ref="C16:F16"/>
    <mergeCell ref="M20:P20"/>
    <mergeCell ref="C25:F25"/>
    <mergeCell ref="C55:F55"/>
    <mergeCell ref="C9:F9"/>
    <mergeCell ref="M22:P22"/>
    <mergeCell ref="M30:P30"/>
    <mergeCell ref="M6:P6"/>
    <mergeCell ref="C11:F11"/>
    <mergeCell ref="M15:P15"/>
    <mergeCell ref="M28:P28"/>
    <mergeCell ref="M42:P42"/>
    <mergeCell ref="M37:P37"/>
  </mergeCells>
  <pageMargins left="0.1968503937007874" right="0" top="0" bottom="0" header="0" footer="0"/>
  <pageSetup orientation="portrait" paperSize="9" scale="97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2024-01-18T11:39:21Z</dcterms:created>
  <dcterms:modified xsi:type="dcterms:W3CDTF">2026-09-01T09:58:01Z</dcterms:modified>
  <cp:lastModifiedBy>事務局 神栖横丁</cp:lastModifiedBy>
  <cp:lastPrinted>2026-08-31T03:50:53Z</cp:lastPrinted>
</cp:coreProperties>
</file>